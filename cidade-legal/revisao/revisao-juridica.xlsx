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visão" sheetId="2" state="visible" r:id="rId4"/>
    <sheet name="Resumo" sheetId="3" state="visible" r:id="rId5"/>
  </sheets>
  <definedNames>
    <definedName function="false" hidden="true" localSheetId="1" name="_xlnm._FilterDatabase" vbProcedure="false">Revisão!$A$1:$L$804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<sst xmlns="http://schemas.openxmlformats.org/spreadsheetml/2006/main" count="6337" uniqueCount="3089">
  <si>
    <t xml:space="preserve">Revisão jurídica do jogo Cidade Legal (Educa Direito)</t>
  </si>
  <si>
    <t xml:space="preserve">Conteúdo extraído do jogo em 29/10/2026: 803 afirmações (aulas, perguntas, casos, audiências, ocorrências, bairros, projetos de lei e eventos).</t>
  </si>
  <si>
    <t xml:space="preserve">Como revisar</t>
  </si>
  <si>
    <t xml:space="preserve">1. Na aba "Revisão", leia o texto e a base legal citada.</t>
  </si>
  <si>
    <t xml:space="preserve">2. Preencha apenas as colunas com fundo amarelo: Status, Correção sugerida, Revisado por e Data.</t>
  </si>
  <si>
    <t xml:space="preserve">3. Status: "Correto", "Corrigir" (há erro), "Desatualizado" (a lei mudou) ou "Simplificar/esclarecer". Deixe "A revisar" enquanto não olhar.</t>
  </si>
  <si>
    <t xml:space="preserve">4. Comece pelas linhas com Prioridade "Alta" (definem a resposta certa do jogo) e pelas marcadas na coluna "Atenção".</t>
  </si>
  <si>
    <t xml:space="preserve">5. A aba "Resumo" atualiza sozinha o andamento da revisão.</t>
  </si>
  <si>
    <t xml:space="preserve">Exemplo de preenchimento</t>
  </si>
  <si>
    <t xml:space="preserve">Status: Corrigir · Correção sugerida: "O prazo é de 30 dias, não 15 (CDC, art. 18, §1º)" · Revisado por: Dra. Ana Lima · Data: 05/11/2026</t>
  </si>
  <si>
    <t xml:space="preserve">Depois da revisão, envie a planilha de volta ao Claude para aplicar as correções no jogo.</t>
  </si>
  <si>
    <t xml:space="preserve">Conteúdo educativo e simplificado: não substitui orientação jurídica profissional.</t>
  </si>
  <si>
    <t xml:space="preserve">ID</t>
  </si>
  <si>
    <t xml:space="preserve">Onde no jogo</t>
  </si>
  <si>
    <t xml:space="preserve">Área do Direito</t>
  </si>
  <si>
    <t xml:space="preserve">Tipo</t>
  </si>
  <si>
    <t xml:space="preserve">Texto / afirmação</t>
  </si>
  <si>
    <t xml:space="preserve">Base legal citada</t>
  </si>
  <si>
    <t xml:space="preserve">Prioridade</t>
  </si>
  <si>
    <t xml:space="preserve">Atenção</t>
  </si>
  <si>
    <t xml:space="preserve">Status</t>
  </si>
  <si>
    <t xml:space="preserve">Correção sugerida</t>
  </si>
  <si>
    <t xml:space="preserve">Revisado por</t>
  </si>
  <si>
    <t xml:space="preserve">Data</t>
  </si>
  <si>
    <t xml:space="preserve">R001</t>
  </si>
  <si>
    <t xml:space="preserve">Prefeitura › Aula</t>
  </si>
  <si>
    <t xml:space="preserve">Direito Constitucional e Administrativo</t>
  </si>
  <si>
    <t xml:space="preserve">Resumo da aula</t>
  </si>
  <si>
    <t xml:space="preserve">O município é um ente da federação com autonomia: tem prefeito, vereadores e leis próprias para assuntos de interesse local.</t>
  </si>
  <si>
    <t xml:space="preserve">Média</t>
  </si>
  <si>
    <t xml:space="preserve">A revisar</t>
  </si>
  <si>
    <t xml:space="preserve">R002</t>
  </si>
  <si>
    <t xml:space="preserve">Prefeitura › Aula, ponto 1</t>
  </si>
  <si>
    <t xml:space="preserve">Ponto da aula</t>
  </si>
  <si>
    <t xml:space="preserve">O Brasil é uma federação formada pela União, Estados, Distrito Federal e Municípios — todos autônomos (CF, art. 18).</t>
  </si>
  <si>
    <t xml:space="preserve">CF, art. 18</t>
  </si>
  <si>
    <t xml:space="preserve">R003</t>
  </si>
  <si>
    <t xml:space="preserve">Prefeitura › Aula, ponto 2</t>
  </si>
  <si>
    <t xml:space="preserve">O município legisla sobre assuntos de interesse local, como coleta de lixo, transporte urbano e uso do solo (CF, art. 30).</t>
  </si>
  <si>
    <t xml:space="preserve">CF, art. 30</t>
  </si>
  <si>
    <t xml:space="preserve">R004</t>
  </si>
  <si>
    <t xml:space="preserve">Prefeitura › Aula, ponto 3</t>
  </si>
  <si>
    <t xml:space="preserve">A administração pública segue o "LIMPE": Legalidade, Impessoalidade, Moralidade, Publicidade e Eficiência (CF, art. 37).</t>
  </si>
  <si>
    <t xml:space="preserve">CF, art. 37</t>
  </si>
  <si>
    <t xml:space="preserve">R005</t>
  </si>
  <si>
    <t xml:space="preserve">Prefeitura › Aula, ponto 4</t>
  </si>
  <si>
    <t xml:space="preserve">Para contratar obras e serviços, a prefeitura faz licitação (Lei 14.133/2021); para contratar servidores efetivos, concurso público (CF, art. 37, II).</t>
  </si>
  <si>
    <t xml:space="preserve">CF, art. 37, II</t>
  </si>
  <si>
    <t xml:space="preserve">R006</t>
  </si>
  <si>
    <t xml:space="preserve">Prefeitura › Aula, na prática</t>
  </si>
  <si>
    <t xml:space="preserve">Exemplo prático</t>
  </si>
  <si>
    <t xml:space="preserve">O prefeito não pode contratar a empresa do primo sem licitação, nem nomear o filho para um cargo efetivo sem concurso.</t>
  </si>
  <si>
    <t xml:space="preserve">R007</t>
  </si>
  <si>
    <t xml:space="preserve">Casas › Aula</t>
  </si>
  <si>
    <t xml:space="preserve">Direito Civil — Propriedade</t>
  </si>
  <si>
    <t xml:space="preserve">A propriedade dá ao dono o direito de usar, aproveitar, vender e reaver o bem — mas ela deve cumprir sua função social.</t>
  </si>
  <si>
    <t xml:space="preserve">R008</t>
  </si>
  <si>
    <t xml:space="preserve">Casas › Aula, ponto 1</t>
  </si>
  <si>
    <t xml:space="preserve">O proprietário pode usar, gozar, dispor e reaver a coisa de quem a possua injustamente (Código Civil, art. 1.228).</t>
  </si>
  <si>
    <t xml:space="preserve">Código Civil, art. 1.228</t>
  </si>
  <si>
    <t xml:space="preserve">R009</t>
  </si>
  <si>
    <t xml:space="preserve">Casas › Aula, ponto 2</t>
  </si>
  <si>
    <t xml:space="preserve">Imóvel só passa a ser seu com o registro da escritura no Cartório de Registro de Imóveis (CC, art. 1.245). "Contrato de gaveta" não transfere a propriedade.</t>
  </si>
  <si>
    <t xml:space="preserve">R010</t>
  </si>
  <si>
    <t xml:space="preserve">Casas › Aula, ponto 3</t>
  </si>
  <si>
    <t xml:space="preserve">Usucapião: quem mora num imóvel urbano de até 250 m², por 5 anos, sem oposição e sem ter outro imóvel, pode se tornar dono (CF, art. 183).</t>
  </si>
  <si>
    <t xml:space="preserve">CF, art. 183</t>
  </si>
  <si>
    <t xml:space="preserve">R011</t>
  </si>
  <si>
    <t xml:space="preserve">Casas › Aula, ponto 4</t>
  </si>
  <si>
    <t xml:space="preserve">Imóveis públicos não podem ser adquiridos por usucapião (CF, art. 183, §3º).</t>
  </si>
  <si>
    <t xml:space="preserve">CF, art. 183, §3º</t>
  </si>
  <si>
    <t xml:space="preserve">R012</t>
  </si>
  <si>
    <t xml:space="preserve">Casas › Aula, ponto 5</t>
  </si>
  <si>
    <t xml:space="preserve">O vizinho não pode fazer uso anormal da propriedade que prejudique o sossego, a saúde ou a segurança dos outros (CC, art. 1.277).</t>
  </si>
  <si>
    <t xml:space="preserve">CC, art. 1.277</t>
  </si>
  <si>
    <t xml:space="preserve">R013</t>
  </si>
  <si>
    <t xml:space="preserve">Casas › Aula, na prática</t>
  </si>
  <si>
    <t xml:space="preserve">Comprou uma casa? Faça a escritura e registre no Cartório de Imóveis. Sem registro, o vendedor ainda é o dono no papel.</t>
  </si>
  <si>
    <t xml:space="preserve">R014</t>
  </si>
  <si>
    <t xml:space="preserve">Casas › Prova, pergunta 1</t>
  </si>
  <si>
    <t xml:space="preserve">Pergunta da prova</t>
  </si>
  <si>
    <t xml:space="preserve">Quando a propriedade de um imóvel é transferida ao comprador? → Resposta: Com o registro do título no Cartório de Registro de Imóveis. Pelo art. 1.245 do Código Civil, entre vivos a propriedade imobiliária só se transfere com o registro do título no Registro de Imóveis.</t>
  </si>
  <si>
    <t xml:space="preserve">Pelo art. 1.245 do Código Civil, entre vivos a propriedade imobiliária só se transfere com o registro do título no Registro de Imóveis.</t>
  </si>
  <si>
    <t xml:space="preserve">Alta</t>
  </si>
  <si>
    <t xml:space="preserve">R015</t>
  </si>
  <si>
    <t xml:space="preserve">Casas › Prova, pergunta 2</t>
  </si>
  <si>
    <t xml:space="preserve">Qual o prazo da usucapião especial urbana (imóvel de até 250 m² usado como moradia)? → Resposta: 5 anos. A CF, art. 183, prevê 5 anos de posse ininterrupta e sem oposição, desde que a pessoa não seja dona de outro imóvel.</t>
  </si>
  <si>
    <t xml:space="preserve">A CF, art. 183, prevê 5 anos de posse ininterrupta e sem oposição, desde que a pessoa não seja dona de outro imóvel.</t>
  </si>
  <si>
    <t xml:space="preserve">R016</t>
  </si>
  <si>
    <t xml:space="preserve">Casas › Prova, pergunta 3</t>
  </si>
  <si>
    <t xml:space="preserve">É possível adquirir uma praça pública por usucapião? → Resposta: Não, bens públicos não são usucapíveis. A Constituição (art. 183, §3º e art. 191, parágrafo único) proíbe a usucapião de imóveis públicos.</t>
  </si>
  <si>
    <t xml:space="preserve">A Constituição (art. 183, §3º e art. 191, parágrafo único) proíbe a usucapião de imóveis públicos.</t>
  </si>
  <si>
    <t xml:space="preserve">R017</t>
  </si>
  <si>
    <t xml:space="preserve">Casas › Prova, pergunta 4</t>
  </si>
  <si>
    <t xml:space="preserve">O vizinho faz festas barulhentas toda madrugada. Qual regra protege você? → Resposta: Direito de vizinhança — uso anormal da propriedade. O art. 1.277 do Código Civil permite ao vizinho fazer cessar interferências prejudiciais ao sossego, à saúde e à segurança.</t>
  </si>
  <si>
    <t xml:space="preserve">O art. 1.277 do Código Civil permite ao vizinho fazer cessar interferências prejudiciais ao sossego, à saúde e à segurança.</t>
  </si>
  <si>
    <t xml:space="preserve">R018</t>
  </si>
  <si>
    <t xml:space="preserve">Prédio de Aluguel › Aula</t>
  </si>
  <si>
    <t xml:space="preserve">Lei do Inquilinato</t>
  </si>
  <si>
    <t xml:space="preserve">A Lei do Inquilinato (Lei 8.245/1991) regula a relação entre quem aluga (locador) e quem mora (locatário).</t>
  </si>
  <si>
    <t xml:space="preserve">R019</t>
  </si>
  <si>
    <t xml:space="preserve">Prédio de Aluguel › Aula, ponto 1</t>
  </si>
  <si>
    <t xml:space="preserve">O locatário pode devolver o imóvel antes do fim do contrato pagando multa proporcional ao tempo que falta (art. 4º).</t>
  </si>
  <si>
    <t xml:space="preserve">art. 4º</t>
  </si>
  <si>
    <t xml:space="preserve">R020</t>
  </si>
  <si>
    <t xml:space="preserve">Prédio de Aluguel › Aula, ponto 2</t>
  </si>
  <si>
    <t xml:space="preserve">O contrato pode exigir apenas UMA garantia: caução, fiança, seguro-fiança ou cessão fiduciária de quotas (art. 37). Exigir duas é contravenção.</t>
  </si>
  <si>
    <t xml:space="preserve">R021</t>
  </si>
  <si>
    <t xml:space="preserve">Prédio de Aluguel › Aula, ponto 3</t>
  </si>
  <si>
    <t xml:space="preserve">A caução em dinheiro não pode passar de 3 meses de aluguel (art. 38, §2º).</t>
  </si>
  <si>
    <t xml:space="preserve">art. 38, §2º</t>
  </si>
  <si>
    <t xml:space="preserve">R022</t>
  </si>
  <si>
    <t xml:space="preserve">Prédio de Aluguel › Aula, ponto 4</t>
  </si>
  <si>
    <t xml:space="preserve">Se o imóvel for vendido, o inquilino tem direito de preferência para comprá-lo nas mesmas condições (art. 27).</t>
  </si>
  <si>
    <t xml:space="preserve">art. 27</t>
  </si>
  <si>
    <t xml:space="preserve">R023</t>
  </si>
  <si>
    <t xml:space="preserve">Prédio de Aluguel › Aula, ponto 5</t>
  </si>
  <si>
    <t xml:space="preserve">O locador deve entregar o imóvel em condições de uso e pagar as despesas extraordinárias de condomínio, como reformas estruturais (art. 22).</t>
  </si>
  <si>
    <t xml:space="preserve">art. 22</t>
  </si>
  <si>
    <t xml:space="preserve">R024</t>
  </si>
  <si>
    <t xml:space="preserve">Prédio de Aluguel › Aula, na prática</t>
  </si>
  <si>
    <t xml:space="preserve">Pediram fiador E seguro-fiança ao mesmo tempo? Isso é ilegal: a lei só permite uma modalidade de garantia por contrato.</t>
  </si>
  <si>
    <t xml:space="preserve">R025</t>
  </si>
  <si>
    <t xml:space="preserve">Prédio de Aluguel › Prova, pergunta 1</t>
  </si>
  <si>
    <t xml:space="preserve">Quantas modalidades de garantia o locador pode exigir no mesmo contrato? → Resposta: Uma. O parágrafo único do art. 37 da Lei 8.245/91 veda mais de uma modalidade de garantia no mesmo contrato.</t>
  </si>
  <si>
    <t xml:space="preserve">O parágrafo único do art. 37 da Lei 8.245/91 veda mais de uma modalidade de garantia no mesmo contrato.</t>
  </si>
  <si>
    <t xml:space="preserve">R026</t>
  </si>
  <si>
    <t xml:space="preserve">Prédio de Aluguel › Prova, pergunta 2</t>
  </si>
  <si>
    <t xml:space="preserve">Qual o limite da caução em dinheiro? → Resposta: 3 meses de aluguel. O art. 38, §2º, limita a caução em dinheiro a 3 meses de aluguel, depositada em poupança.</t>
  </si>
  <si>
    <t xml:space="preserve">O art. 38, §2º, limita a caução em dinheiro a 3 meses de aluguel, depositada em poupança.</t>
  </si>
  <si>
    <t xml:space="preserve">R027</t>
  </si>
  <si>
    <t xml:space="preserve">Prédio de Aluguel › Prova, pergunta 3</t>
  </si>
  <si>
    <t xml:space="preserve">O dono decide vender o apartamento alugado. O que o inquilino tem? → Resposta: Direito de preferência na compra. O art. 27 da Lei do Inquilinato garante ao locatário a preferência para adquirir o imóvel em igualdade de condições com terceiros.</t>
  </si>
  <si>
    <t xml:space="preserve">O art. 27 da Lei do Inquilinato garante ao locatário a preferência para adquirir o imóvel em igualdade de condições com terceiros.</t>
  </si>
  <si>
    <t xml:space="preserve">R028</t>
  </si>
  <si>
    <t xml:space="preserve">Mercado › Aula</t>
  </si>
  <si>
    <t xml:space="preserve">Direito do Consumidor</t>
  </si>
  <si>
    <t xml:space="preserve">O Código de Defesa do Consumidor (Lei 8.078/1990) protege quem compra, porque o consumidor é a parte mais fraca da relação.</t>
  </si>
  <si>
    <t xml:space="preserve">R029</t>
  </si>
  <si>
    <t xml:space="preserve">Mercado › Aula, ponto 1</t>
  </si>
  <si>
    <t xml:space="preserve">Comprou fora da loja (internet, telefone, porta a porta)? Você tem 7 dias para desistir e receber tudo de volta (art. 49).</t>
  </si>
  <si>
    <t xml:space="preserve">art. 49</t>
  </si>
  <si>
    <t xml:space="preserve">R030</t>
  </si>
  <si>
    <t xml:space="preserve">Mercado › Aula, ponto 2</t>
  </si>
  <si>
    <t xml:space="preserve">Prazo para reclamar de defeito aparente: 30 dias para produtos não duráveis (comida) e 90 dias para duráveis (eletrônicos) (art. 26).</t>
  </si>
  <si>
    <t xml:space="preserve">art. 26</t>
  </si>
  <si>
    <t xml:space="preserve">R031</t>
  </si>
  <si>
    <t xml:space="preserve">Mercado › Aula, ponto 3</t>
  </si>
  <si>
    <t xml:space="preserve">Venda casada é proibida — a loja não pode obrigar você a levar um produto para comprar outro (art. 39, I).</t>
  </si>
  <si>
    <t xml:space="preserve">art. 39, I</t>
  </si>
  <si>
    <t xml:space="preserve">R032</t>
  </si>
  <si>
    <t xml:space="preserve">Mercado › Aula, ponto 4</t>
  </si>
  <si>
    <t xml:space="preserve">Propaganda enganosa ou abusiva é proibida, e a oferta anunciada obriga o fornecedor (arts. 30 e 37).</t>
  </si>
  <si>
    <t xml:space="preserve">R033</t>
  </si>
  <si>
    <t xml:space="preserve">Mercado › Aula, ponto 5</t>
  </si>
  <si>
    <t xml:space="preserve">O fornecedor responde pelos danos causados por defeito do produto mesmo sem culpa — é a responsabilidade objetiva (art. 12).</t>
  </si>
  <si>
    <t xml:space="preserve">art. 12</t>
  </si>
  <si>
    <t xml:space="preserve">R034</t>
  </si>
  <si>
    <t xml:space="preserve">Mercado › Aula, na prática</t>
  </si>
  <si>
    <t xml:space="preserve">O preço na etiqueta era menor que o do caixa? A oferta vincula a loja: você paga o menor preço anunciado.</t>
  </si>
  <si>
    <t xml:space="preserve">R035</t>
  </si>
  <si>
    <t xml:space="preserve">Mercado › Prova, pergunta 1</t>
  </si>
  <si>
    <t xml:space="preserve">Comprei um tênis pela internet e me arrependi. Qual o prazo para desistir? → Resposta: 7 dias. O direito de arrependimento (art. 49 do CDC) vale por 7 dias para compras fora do estabelecimento comercial.</t>
  </si>
  <si>
    <t xml:space="preserve">O direito de arrependimento (art. 49 do CDC) vale por 7 dias para compras fora do estabelecimento comercial.</t>
  </si>
  <si>
    <t xml:space="preserve">R036</t>
  </si>
  <si>
    <t xml:space="preserve">Mercado › Prova, pergunta 2</t>
  </si>
  <si>
    <t xml:space="preserve">O cinema só deixa entrar quem comprar a pipoca dele. Isso é: → Resposta: Venda casada, prática abusiva. Condicionar o fornecimento de um produto ou serviço a outro é venda casada, proibida pelo art. 39, I, do CDC.</t>
  </si>
  <si>
    <t xml:space="preserve">Condicionar o fornecimento de um produto ou serviço a outro é venda casada, proibida pelo art. 39, I, do CDC.</t>
  </si>
  <si>
    <t xml:space="preserve">R037</t>
  </si>
  <si>
    <t xml:space="preserve">Mercado › Prova, pergunta 3</t>
  </si>
  <si>
    <t xml:space="preserve">Qual o prazo para reclamar de defeito aparente numa geladeira (produto durável)? → Resposta: 90 dias. Para produtos duráveis o prazo é de 90 dias (art. 26, II, do CDC); para não duráveis, 30 dias.</t>
  </si>
  <si>
    <t xml:space="preserve">Para produtos duráveis o prazo é de 90 dias (art. 26, II, do CDC); para não duráveis, 30 dias.</t>
  </si>
  <si>
    <t xml:space="preserve">R038</t>
  </si>
  <si>
    <t xml:space="preserve">Mercado › Prova, pergunta 4</t>
  </si>
  <si>
    <t xml:space="preserve">Um anúncio diz que o celular é à prova d'água, mas não é. Isso é: → Resposta: Propaganda enganosa. Informação falsa capaz de induzir o consumidor a erro é publicidade enganosa (art. 37, §1º, do CDC).</t>
  </si>
  <si>
    <t xml:space="preserve">Informação falsa capaz de induzir o consumidor a erro é publicidade enganosa (art. 37, §1º, do CDC).</t>
  </si>
  <si>
    <t xml:space="preserve">R039</t>
  </si>
  <si>
    <t xml:space="preserve">Fábrica › Aula</t>
  </si>
  <si>
    <t xml:space="preserve">Direito do Trabalho</t>
  </si>
  <si>
    <t xml:space="preserve">A CLT e o art. 7º da Constituição garantem direitos mínimos a quem trabalha com carteira assinada.</t>
  </si>
  <si>
    <t xml:space="preserve">R040</t>
  </si>
  <si>
    <t xml:space="preserve">Fábrica › Aula, ponto 1</t>
  </si>
  <si>
    <t xml:space="preserve">Jornada normal de até 8 horas por dia e 44 horas por semana (CF, art. 7º, XIII). O que passar disso é hora extra, paga com no mínimo 50% a mais (art. 7º, XVI).</t>
  </si>
  <si>
    <t xml:space="preserve">art. 7º, XVI</t>
  </si>
  <si>
    <t xml:space="preserve">R041</t>
  </si>
  <si>
    <t xml:space="preserve">Fábrica › Aula, ponto 2</t>
  </si>
  <si>
    <t xml:space="preserve">Férias anuais remuneradas com um terço a mais (art. 7º, XVII) e 13º salário (art. 7º, VIII).</t>
  </si>
  <si>
    <t xml:space="preserve">art. 7º, VIII</t>
  </si>
  <si>
    <t xml:space="preserve">R042</t>
  </si>
  <si>
    <t xml:space="preserve">Fábrica › Aula, ponto 3</t>
  </si>
  <si>
    <t xml:space="preserve">Quem trabalha mais de 6 horas tem direito a no mínimo 1 hora de intervalo para refeição (CLT, art. 71).</t>
  </si>
  <si>
    <t xml:space="preserve">CLT, art. 71</t>
  </si>
  <si>
    <t xml:space="preserve">R043</t>
  </si>
  <si>
    <t xml:space="preserve">Fábrica › Aula, ponto 4</t>
  </si>
  <si>
    <t xml:space="preserve">O empregador deve recolher o FGTS — 8% do salário depositados todo mês em conta do trabalhador (Lei 8.036/1990).</t>
  </si>
  <si>
    <t xml:space="preserve">Lei 8.036/1990</t>
  </si>
  <si>
    <t xml:space="preserve">R044</t>
  </si>
  <si>
    <t xml:space="preserve">Fábrica › Aula, ponto 5</t>
  </si>
  <si>
    <t xml:space="preserve">É proibido qualquer trabalho a menores de 16 anos, salvo como aprendiz a partir dos 14 (CF, art. 7º, XXXIII).</t>
  </si>
  <si>
    <t xml:space="preserve">CF, art. 7º, XXXIII</t>
  </si>
  <si>
    <t xml:space="preserve">R045</t>
  </si>
  <si>
    <t xml:space="preserve">Fábrica › Aula, na prática</t>
  </si>
  <si>
    <t xml:space="preserve">Trabalhou 10 horas num dia? As 2 horas a mais são extras e devem ser pagas com adicional de pelo menos 50% (ou compensadas em banco de horas válido).</t>
  </si>
  <si>
    <t xml:space="preserve">R046</t>
  </si>
  <si>
    <t xml:space="preserve">Fábrica › Prova, pergunta 1</t>
  </si>
  <si>
    <t xml:space="preserve">Qual a jornada máxima normal prevista na Constituição? → Resposta: 8h/dia e 44h/semana. O art. 7º, XIII, da CF fixa duração do trabalho normal não superior a 8 horas diárias e 44 semanais.</t>
  </si>
  <si>
    <t xml:space="preserve">O art. 7º, XIII, da CF fixa duração do trabalho normal não superior a 8 horas diárias e 44 semanais.</t>
  </si>
  <si>
    <t xml:space="preserve">R047</t>
  </si>
  <si>
    <t xml:space="preserve">Fábrica › Prova, pergunta 2</t>
  </si>
  <si>
    <t xml:space="preserve">Qual o adicional mínimo da hora extra? → Resposta: 50%. O art. 7º, XVI, da CF garante remuneração do serviço extraordinário superior, no mínimo, em 50% à do normal.</t>
  </si>
  <si>
    <t xml:space="preserve">O art. 7º, XVI, da CF garante remuneração do serviço extraordinário superior, no mínimo, em 50% à do normal.</t>
  </si>
  <si>
    <t xml:space="preserve">R048</t>
  </si>
  <si>
    <t xml:space="preserve">Fábrica › Prova, pergunta 3</t>
  </si>
  <si>
    <t xml:space="preserve">A partir de que idade alguém pode trabalhar como aprendiz? → Resposta: 14 anos. A CF (art. 7º, XXXIII) proíbe trabalho a menores de 16 anos, salvo na condição de aprendiz, a partir de 14.</t>
  </si>
  <si>
    <t xml:space="preserve">A CF (art. 7º, XXXIII) proíbe trabalho a menores de 16 anos, salvo na condição de aprendiz, a partir de 14.</t>
  </si>
  <si>
    <t xml:space="preserve">R049</t>
  </si>
  <si>
    <t xml:space="preserve">Fábrica › Prova, pergunta 4</t>
  </si>
  <si>
    <t xml:space="preserve">Além do salário, quanto o trabalhador recebe a mais nas férias? → Resposta: Um terço do salário. As férias são remuneradas com, pelo menos, um terço a mais do que o salário normal (CF, art. 7º, XVII).</t>
  </si>
  <si>
    <t xml:space="preserve">As férias são remuneradas com, pelo menos, um terço a mais do que o salário normal (CF, art. 7º, XVII).</t>
  </si>
  <si>
    <t xml:space="preserve">R050</t>
  </si>
  <si>
    <t xml:space="preserve">Escola › Aula</t>
  </si>
  <si>
    <t xml:space="preserve">Educação e ECA</t>
  </si>
  <si>
    <t xml:space="preserve">Crianças e adolescentes têm prioridade absoluta. Educação é direito de todos e dever do Estado e da família.</t>
  </si>
  <si>
    <t xml:space="preserve">R051</t>
  </si>
  <si>
    <t xml:space="preserve">Escola › Aula, ponto 1</t>
  </si>
  <si>
    <t xml:space="preserve">Para o ECA (Lei 8.069/1990), criança é quem tem até 12 anos incompletos; adolescente, de 12 a 18 anos (art. 2º).</t>
  </si>
  <si>
    <t xml:space="preserve">art. 2º</t>
  </si>
  <si>
    <t xml:space="preserve">R052</t>
  </si>
  <si>
    <t xml:space="preserve">Escola › Aula, ponto 2</t>
  </si>
  <si>
    <t xml:space="preserve">Família, sociedade e poder público devem garantir, com prioridade absoluta, os direitos de crianças e adolescentes (CF, art. 227; ECA, art. 4º).</t>
  </si>
  <si>
    <t xml:space="preserve">CF, art. 227; ECA, art. 4º</t>
  </si>
  <si>
    <t xml:space="preserve">R053</t>
  </si>
  <si>
    <t xml:space="preserve">Escola › Aula, ponto 3</t>
  </si>
  <si>
    <t xml:space="preserve">A educação básica é obrigatória e gratuita dos 4 aos 17 anos (CF, art. 208, I).</t>
  </si>
  <si>
    <t xml:space="preserve">CF, art. 208, I</t>
  </si>
  <si>
    <t xml:space="preserve">R054</t>
  </si>
  <si>
    <t xml:space="preserve">Escola › Aula, ponto 4</t>
  </si>
  <si>
    <t xml:space="preserve">Todo município deve ter ao menos um Conselho Tutelar, com 5 membros escolhidos pela comunidade (ECA, art. 132).</t>
  </si>
  <si>
    <t xml:space="preserve">ECA, art. 132</t>
  </si>
  <si>
    <t xml:space="preserve">R055</t>
  </si>
  <si>
    <t xml:space="preserve">Escola › Aula, ponto 5</t>
  </si>
  <si>
    <t xml:space="preserve">A escola deve comunicar ao Conselho Tutelar casos de maus-tratos e de faltas reiteradas dos alunos (ECA, arts. 13 e 56).</t>
  </si>
  <si>
    <t xml:space="preserve">ECA, arts. 13 e 56</t>
  </si>
  <si>
    <t xml:space="preserve">R056</t>
  </si>
  <si>
    <t xml:space="preserve">Escola › Aula, na prática</t>
  </si>
  <si>
    <t xml:space="preserve">Um aluno parou de ir à aula e a família não responde? A escola aciona o Conselho Tutelar, que acompanha o caso.</t>
  </si>
  <si>
    <t xml:space="preserve">R057</t>
  </si>
  <si>
    <t xml:space="preserve">Escola › Prova, pergunta 1</t>
  </si>
  <si>
    <t xml:space="preserve">Pelo ECA, até que idade uma pessoa é considerada criança? → Resposta: Até 12 anos incompletos. O art. 2º do ECA define criança como a pessoa até 12 anos incompletos e adolescente entre 12 e 18 anos.</t>
  </si>
  <si>
    <t xml:space="preserve">O art. 2º do ECA define criança como a pessoa até 12 anos incompletos e adolescente entre 12 e 18 anos.</t>
  </si>
  <si>
    <t xml:space="preserve">R058</t>
  </si>
  <si>
    <t xml:space="preserve">Escola › Prova, pergunta 2</t>
  </si>
  <si>
    <t xml:space="preserve">Dos quantos aos quantos anos a educação básica é obrigatória? → Resposta: 4 a 17 anos. Pela CF, art. 208, I (EC 59/2009), a educação básica é obrigatória e gratuita dos 4 aos 17 anos.</t>
  </si>
  <si>
    <t xml:space="preserve">Pela CF, art. 208, I (EC 59/2009), a educação básica é obrigatória e gratuita dos 4 aos 17 anos.</t>
  </si>
  <si>
    <t xml:space="preserve">R059</t>
  </si>
  <si>
    <t xml:space="preserve">Escola › Prova, pergunta 3</t>
  </si>
  <si>
    <t xml:space="preserve">Quem a escola deve avisar em caso de suspeita de maus-tratos a um aluno? → Resposta: O Conselho Tutelar. O art. 56 do ECA obriga os dirigentes de escolas a comunicar ao Conselho Tutelar os casos de maus-tratos.</t>
  </si>
  <si>
    <t xml:space="preserve">O art. 56 do ECA obriga os dirigentes de escolas a comunicar ao Conselho Tutelar os casos de maus-tratos.</t>
  </si>
  <si>
    <t xml:space="preserve">R060</t>
  </si>
  <si>
    <t xml:space="preserve">Posto de Saúde › Aula</t>
  </si>
  <si>
    <t xml:space="preserve">Direito à Saúde (SUS)</t>
  </si>
  <si>
    <t xml:space="preserve">Saúde é direito de todos e dever do Estado. O SUS (Lei 8.080/1990) atende qualquer pessoa, de graça.</t>
  </si>
  <si>
    <t xml:space="preserve">R061</t>
  </si>
  <si>
    <t xml:space="preserve">Posto de Saúde › Aula, ponto 1</t>
  </si>
  <si>
    <t xml:space="preserve">A saúde é direito de todos e dever do Estado (CF, art. 196).</t>
  </si>
  <si>
    <t xml:space="preserve">CF, art. 196</t>
  </si>
  <si>
    <t xml:space="preserve">R062</t>
  </si>
  <si>
    <t xml:space="preserve">Posto de Saúde › Aula, ponto 2</t>
  </si>
  <si>
    <t xml:space="preserve">O SUS é universal: atende todas as pessoas, inclusive estrangeiros, sem exigir pagamento (Lei 8.080/90, art. 7º, I).</t>
  </si>
  <si>
    <t xml:space="preserve">Lei 8.080/90, art. 7º, I</t>
  </si>
  <si>
    <t xml:space="preserve">R063</t>
  </si>
  <si>
    <t xml:space="preserve">Posto de Saúde › Aula, ponto 3</t>
  </si>
  <si>
    <t xml:space="preserve">O SUS é descentralizado: União, Estados e Municípios dividem as responsabilidades, e o município cuida da atenção básica.</t>
  </si>
  <si>
    <t xml:space="preserve">R064</t>
  </si>
  <si>
    <t xml:space="preserve">Posto de Saúde › Aula, ponto 4</t>
  </si>
  <si>
    <t xml:space="preserve">O paciente tem direito de acesso ao próprio prontuário e às informações sobre seu tratamento.</t>
  </si>
  <si>
    <t xml:space="preserve">R065</t>
  </si>
  <si>
    <t xml:space="preserve">Posto de Saúde › Aula, na prática</t>
  </si>
  <si>
    <t xml:space="preserve">Um turista estrangeiro passou mal na cidade? O posto de saúde deve atendê-lo normalmente: o SUS é universal.</t>
  </si>
  <si>
    <t xml:space="preserve">R066</t>
  </si>
  <si>
    <t xml:space="preserve">Posto de Saúde › Prova, pergunta 1</t>
  </si>
  <si>
    <t xml:space="preserve">Segundo a Constituição, a saúde é: → Resposta: Direito de todos e dever do Estado. É o que diz o art. 196 da Constituição Federal.</t>
  </si>
  <si>
    <t xml:space="preserve">É o que diz o art. 196 da Constituição Federal.</t>
  </si>
  <si>
    <t xml:space="preserve">R067</t>
  </si>
  <si>
    <t xml:space="preserve">Posto de Saúde › Prova, pergunta 2</t>
  </si>
  <si>
    <t xml:space="preserve">Quem pode ser atendido pelo SUS? → Resposta: Qualquer pessoa. A universalidade de acesso é princípio do SUS (Lei 8.080/90, art. 7º, I).</t>
  </si>
  <si>
    <t xml:space="preserve">A universalidade de acesso é princípio do SUS (Lei 8.080/90, art. 7º, I).</t>
  </si>
  <si>
    <t xml:space="preserve">R068</t>
  </si>
  <si>
    <t xml:space="preserve">Posto de Saúde › Prova, pergunta 3</t>
  </si>
  <si>
    <t xml:space="preserve">Qual lei organiza o Sistema Único de Saúde? → Resposta: Lei 8.080/1990. A Lei 8.080/90 é a Lei Orgânica da Saúde. (A 8.078/90 é o CDC — números parecidos, assuntos diferentes!)</t>
  </si>
  <si>
    <t xml:space="preserve">A Lei 8.080/90 é a Lei Orgânica da Saúde. (A 8.078/90 é o CDC — números parecidos, assuntos diferentes!)</t>
  </si>
  <si>
    <t xml:space="preserve">R069</t>
  </si>
  <si>
    <t xml:space="preserve">Parque › Aula</t>
  </si>
  <si>
    <t xml:space="preserve">Direito Ambiental</t>
  </si>
  <si>
    <t xml:space="preserve">Todos têm direito a um meio ambiente equilibrado, e todos — governo e sociedade — devem protegê-lo para as futuras gerações.</t>
  </si>
  <si>
    <t xml:space="preserve">R070</t>
  </si>
  <si>
    <t xml:space="preserve">Parque › Aula, ponto 1</t>
  </si>
  <si>
    <t xml:space="preserve">O meio ambiente ecologicamente equilibrado é bem de uso comum do povo (CF, art. 225).</t>
  </si>
  <si>
    <t xml:space="preserve">CF, art. 225</t>
  </si>
  <si>
    <t xml:space="preserve">R071</t>
  </si>
  <si>
    <t xml:space="preserve">Parque › Aula, ponto 2</t>
  </si>
  <si>
    <t xml:space="preserve">Quem polui deve reparar o dano, independentemente de culpa — responsabilidade objetiva (Lei 6.938/1981, art. 14, §1º).</t>
  </si>
  <si>
    <t xml:space="preserve">Lei 6.938/1981, art. 14, §1º</t>
  </si>
  <si>
    <t xml:space="preserve">R072</t>
  </si>
  <si>
    <t xml:space="preserve">Parque › Aula, ponto 3</t>
  </si>
  <si>
    <t xml:space="preserve">A Lei de Crimes Ambientais (Lei 9.605/1998) pune também empresas, não só pessoas físicas.</t>
  </si>
  <si>
    <t xml:space="preserve">R073</t>
  </si>
  <si>
    <t xml:space="preserve">Parque › Aula, ponto 4</t>
  </si>
  <si>
    <t xml:space="preserve">As margens de rios são Áreas de Preservação Permanente (APP): no mínimo 30 metros para rios de até 10 m de largura (Código Florestal, Lei 12.651/2012, art. 4º).</t>
  </si>
  <si>
    <t xml:space="preserve">Código Florestal, Lei 12.651/2012, art. 4º</t>
  </si>
  <si>
    <t xml:space="preserve">R074</t>
  </si>
  <si>
    <t xml:space="preserve">Parque › Aula, na prática</t>
  </si>
  <si>
    <t xml:space="preserve">Uma fábrica jogou resíduos no rio "sem querer"? Ela responde mesmo assim: no dano ambiental, não importa a culpa.</t>
  </si>
  <si>
    <t xml:space="preserve">R075</t>
  </si>
  <si>
    <t xml:space="preserve">Parque › Prova, pergunta 1</t>
  </si>
  <si>
    <t xml:space="preserve">Uma empresa poluiu um rio por acidente, sem culpa. Ela deve reparar o dano? → Resposta: Sim, a responsabilidade ambiental é objetiva. Pela Lei 6.938/81, art. 14, §1º, o poluidor deve reparar o dano independentemente de culpa.</t>
  </si>
  <si>
    <t xml:space="preserve">Pela Lei 6.938/81, art. 14, §1º, o poluidor deve reparar o dano independentemente de culpa.</t>
  </si>
  <si>
    <t xml:space="preserve">R076</t>
  </si>
  <si>
    <t xml:space="preserve">Parque › Prova, pergunta 2</t>
  </si>
  <si>
    <t xml:space="preserve">Empresas podem responder por crimes ambientais? → Resposta: Sim, pela Lei 9.605/1998 e pela CF, art. 225, §3º. A Constituição (art. 225, §3º) e a Lei 9.605/98 (art. 3º) admitem a responsabilização penal da pessoa jurídica.</t>
  </si>
  <si>
    <t xml:space="preserve">A Constituição (art. 225, §3º) e a Lei 9.605/98 (art. 3º) admitem a responsabilização penal da pessoa jurídica.</t>
  </si>
  <si>
    <t xml:space="preserve">R077</t>
  </si>
  <si>
    <t xml:space="preserve">Parque › Prova, pergunta 3</t>
  </si>
  <si>
    <t xml:space="preserve">Qual a faixa mínima de mata a preservar na margem de um riacho com menos de 10 m de largura? → Resposta: 30 metros. O Código Florestal (art. 4º, I, "a") fixa APP de 30 metros para cursos d'água com menos de 10 metros de largura.</t>
  </si>
  <si>
    <t xml:space="preserve">O Código Florestal (art. 4º, I, "a") fixa APP de 30 metros para cursos d'água com menos de 10 metros de largura.</t>
  </si>
  <si>
    <t xml:space="preserve">R078</t>
  </si>
  <si>
    <t xml:space="preserve">Delegacia › Aula</t>
  </si>
  <si>
    <t xml:space="preserve">Direito Penal e Processo Penal</t>
  </si>
  <si>
    <t xml:space="preserve">Só é crime o que a lei define como crime, e mesmo o suspeito tem direitos garantidos pela Constituição.</t>
  </si>
  <si>
    <t xml:space="preserve">R079</t>
  </si>
  <si>
    <t xml:space="preserve">Delegacia › Aula, ponto 1</t>
  </si>
  <si>
    <t xml:space="preserve">Não há crime sem lei anterior que o defina, nem pena sem prévia cominação legal — princípio da legalidade (CF, art. 5º, XXXIX; Código Penal, art. 1º).</t>
  </si>
  <si>
    <t xml:space="preserve">CF, art. 5º, XXXIX; Código Penal, art. 1º</t>
  </si>
  <si>
    <t xml:space="preserve">R080</t>
  </si>
  <si>
    <t xml:space="preserve">Delegacia › Aula, ponto 2</t>
  </si>
  <si>
    <t xml:space="preserve">Legítima defesa: não é crime repelir agressão injusta, atual ou iminente, usando moderadamente os meios necessários (CP, art. 25).</t>
  </si>
  <si>
    <t xml:space="preserve">CP, art. 25</t>
  </si>
  <si>
    <t xml:space="preserve">R081</t>
  </si>
  <si>
    <t xml:space="preserve">Delegacia › Aula, ponto 3</t>
  </si>
  <si>
    <t xml:space="preserve">O preso tem direito de permanecer calado e de ter assistência de advogado e da família (CF, art. 5º, LXIII).</t>
  </si>
  <si>
    <t xml:space="preserve">CF, art. 5º, LXIII</t>
  </si>
  <si>
    <t xml:space="preserve">R082</t>
  </si>
  <si>
    <t xml:space="preserve">Delegacia › Aula, ponto 4</t>
  </si>
  <si>
    <t xml:space="preserve">Quem é preso em flagrante deve ser levado a um juiz em até 24 horas — a audiência de custódia (CPP, art. 310).</t>
  </si>
  <si>
    <t xml:space="preserve">CPP, art. 310</t>
  </si>
  <si>
    <t xml:space="preserve">R083</t>
  </si>
  <si>
    <t xml:space="preserve">Delegacia › Aula, ponto 5</t>
  </si>
  <si>
    <t xml:space="preserve">Ninguém será considerado culpado até o trânsito em julgado da sentença penal condenatória (CF, art. 5º, LVII).</t>
  </si>
  <si>
    <t xml:space="preserve">CF, art. 5º, LVII</t>
  </si>
  <si>
    <t xml:space="preserve">R084</t>
  </si>
  <si>
    <t xml:space="preserve">Delegacia › Aula, na prática</t>
  </si>
  <si>
    <t xml:space="preserve">Uma lei nova criou um crime hoje. Quem fez aquilo ontem não pode ser punido: a lei penal não retroage para prejudicar.</t>
  </si>
  <si>
    <t xml:space="preserve">R085</t>
  </si>
  <si>
    <t xml:space="preserve">Delegacia › Prova, pergunta 1</t>
  </si>
  <si>
    <t xml:space="preserve">Uma conduta pode ser punida como crime se não havia lei definindo-a quando foi praticada? → Resposta: Não, pelo princípio da legalidade. CF, art. 5º, XXXIX e CP, art. 1º: não há crime sem lei anterior que o defina.</t>
  </si>
  <si>
    <t xml:space="preserve">CF, art. 5º, XXXIX e CP, art. 1º: não há crime sem lei anterior que o defina.</t>
  </si>
  <si>
    <t xml:space="preserve">R086</t>
  </si>
  <si>
    <t xml:space="preserve">Delegacia › Prova, pergunta 2</t>
  </si>
  <si>
    <t xml:space="preserve">Em quanto tempo o preso em flagrante deve ser apresentado ao juiz? → Resposta: 24 horas. O art. 310 do CPP prevê a audiência de custódia em até 24 horas após a prisão.</t>
  </si>
  <si>
    <t xml:space="preserve">O art. 310 do CPP prevê a audiência de custódia em até 24 horas após a prisão.</t>
  </si>
  <si>
    <t xml:space="preserve">R087</t>
  </si>
  <si>
    <t xml:space="preserve">Delegacia › Prova, pergunta 3</t>
  </si>
  <si>
    <t xml:space="preserve">O que é legítima defesa? → Resposta: Repelir agressão injusta, atual ou iminente, com meios moderados. É a definição do art. 25 do Código Penal. Reagir com excesso ou depois que a agressão acabou não é legítima defesa.</t>
  </si>
  <si>
    <t xml:space="preserve">É a definição do art. 25 do Código Penal. Reagir com excesso ou depois que a agressão acabou não é legítima defesa.</t>
  </si>
  <si>
    <t xml:space="preserve">R088</t>
  </si>
  <si>
    <t xml:space="preserve">Delegacia › Prova, pergunta 4</t>
  </si>
  <si>
    <t xml:space="preserve">Ao ser preso, a pessoa: → Resposta: Tem direito de permanecer calada. A CF, art. 5º, LXIII, garante ao preso o direito ao silêncio e à assistência da família e de advogado.</t>
  </si>
  <si>
    <t xml:space="preserve">A CF, art. 5º, LXIII, garante ao preso o direito ao silêncio e à assistência da família e de advogado.</t>
  </si>
  <si>
    <t xml:space="preserve">R089</t>
  </si>
  <si>
    <t xml:space="preserve">Fórum › Aula</t>
  </si>
  <si>
    <t xml:space="preserve">Acesso à Justiça</t>
  </si>
  <si>
    <t xml:space="preserve">Toda lesão ou ameaça a direito pode ser levada ao Judiciário — e há caminhos simples e gratuitos para isso.</t>
  </si>
  <si>
    <t xml:space="preserve">R090</t>
  </si>
  <si>
    <t xml:space="preserve">Fórum › Aula, ponto 1</t>
  </si>
  <si>
    <t xml:space="preserve">A lei não pode impedir ninguém de levar seu problema ao Judiciário — inafastabilidade da jurisdição (CF, art. 5º, XXXV).</t>
  </si>
  <si>
    <t xml:space="preserve">CF, art. 5º, XXXV</t>
  </si>
  <si>
    <t xml:space="preserve">R091</t>
  </si>
  <si>
    <t xml:space="preserve">Fórum › Aula, ponto 2</t>
  </si>
  <si>
    <t xml:space="preserve">Os Juizados Especiais Cíveis julgam causas de até 40 salários mínimos de forma simples e rápida (Lei 9.099/1995, art. 3º).</t>
  </si>
  <si>
    <t xml:space="preserve">Lei 9.099/1995, art. 3º</t>
  </si>
  <si>
    <t xml:space="preserve">R092</t>
  </si>
  <si>
    <t xml:space="preserve">Fórum › Aula, ponto 3</t>
  </si>
  <si>
    <t xml:space="preserve">Nos Juizados, em causas de até 20 salários mínimos, você pode entrar sem advogado (art. 9º).</t>
  </si>
  <si>
    <t xml:space="preserve">art. 9º</t>
  </si>
  <si>
    <t xml:space="preserve">R093</t>
  </si>
  <si>
    <t xml:space="preserve">Fórum › Aula, ponto 4</t>
  </si>
  <si>
    <t xml:space="preserve">Quem não pode pagar tem direito à assistência jurídica gratuita, prestada pela Defensoria Pública (CF, arts. 5º, LXXIV e 134).</t>
  </si>
  <si>
    <t xml:space="preserve">CF, arts. 5º, LXXIV e 134</t>
  </si>
  <si>
    <t xml:space="preserve">R094</t>
  </si>
  <si>
    <t xml:space="preserve">Fórum › Aula, na prática</t>
  </si>
  <si>
    <t xml:space="preserve">A loja não quer trocar um celular de R$ 1.500? Você pode ir sozinho ao Juizado Especial Cível e entrar com o pedido.</t>
  </si>
  <si>
    <t xml:space="preserve">R095</t>
  </si>
  <si>
    <t xml:space="preserve">Fórum › Prova, pergunta 1</t>
  </si>
  <si>
    <t xml:space="preserve">Até qual valor de causa os Juizados Especiais Cíveis estaduais julgam? → Resposta: 40 salários mínimos. O art. 3º, I, da Lei 9.099/95 fixa o limite de 40 salários mínimos.</t>
  </si>
  <si>
    <t xml:space="preserve">O art. 3º, I, da Lei 9.099/95 fixa o limite de 40 salários mínimos.</t>
  </si>
  <si>
    <t xml:space="preserve">R096</t>
  </si>
  <si>
    <t xml:space="preserve">Fórum › Prova, pergunta 2</t>
  </si>
  <si>
    <t xml:space="preserve">Em que situação é possível entrar no Juizado sem advogado? → Resposta: Em causas de até 20 salários mínimos. Pelo art. 9º da Lei 9.099/95, até 20 salários mínimos a assistência por advogado é facultativa.</t>
  </si>
  <si>
    <t xml:space="preserve">Pelo art. 9º da Lei 9.099/95, até 20 salários mínimos a assistência por advogado é facultativa.</t>
  </si>
  <si>
    <t xml:space="preserve">R097</t>
  </si>
  <si>
    <t xml:space="preserve">Fórum › Prova, pergunta 3</t>
  </si>
  <si>
    <t xml:space="preserve">Quem presta assistência jurídica gratuita a quem não pode pagar advogado? → Resposta: A Defensoria Pública. A Defensoria Pública é a instituição incumbida da orientação jurídica e defesa dos necessitados (CF, art. 134).</t>
  </si>
  <si>
    <t xml:space="preserve">A Defensoria Pública é a instituição incumbida da orientação jurídica e defesa dos necessitados (CF, art. 134).</t>
  </si>
  <si>
    <t xml:space="preserve">R098</t>
  </si>
  <si>
    <t xml:space="preserve">Câmara Municipal › Aula</t>
  </si>
  <si>
    <t xml:space="preserve">Processo Legislativo</t>
  </si>
  <si>
    <t xml:space="preserve">Os vereadores fazem as leis da cidade; o prefeito as executa e pode sancionar ou vetar os projetos aprovados.</t>
  </si>
  <si>
    <t xml:space="preserve">R099</t>
  </si>
  <si>
    <t xml:space="preserve">Câmara Municipal › Aula, ponto 1</t>
  </si>
  <si>
    <t xml:space="preserve">O município é regido por uma Lei Orgânica, votada em dois turnos e aprovada por 2/3 dos vereadores (CF, art. 29).</t>
  </si>
  <si>
    <t xml:space="preserve">CF, art. 29</t>
  </si>
  <si>
    <t xml:space="preserve">R100</t>
  </si>
  <si>
    <t xml:space="preserve">Câmara Municipal › Aula, ponto 2</t>
  </si>
  <si>
    <t xml:space="preserve">Prefeito e vereadores têm mandato de 4 anos (CF, art. 29, I).</t>
  </si>
  <si>
    <t xml:space="preserve">CF, art. 29, I</t>
  </si>
  <si>
    <t xml:space="preserve">R101</t>
  </si>
  <si>
    <t xml:space="preserve">Câmara Municipal › Aula, ponto 3</t>
  </si>
  <si>
    <t xml:space="preserve">Depois de aprovado pela Câmara, o projeto vai ao prefeito, que pode sancionar (concordar) ou vetar (discordar). O veto pode ser derrubado pelos vereadores.</t>
  </si>
  <si>
    <t xml:space="preserve">R102</t>
  </si>
  <si>
    <t xml:space="preserve">Câmara Municipal › Aula, ponto 4</t>
  </si>
  <si>
    <t xml:space="preserve">A Câmara também fiscaliza as contas do prefeito, com o auxílio do Tribunal de Contas (CF, art. 31).</t>
  </si>
  <si>
    <t xml:space="preserve">CF, art. 31</t>
  </si>
  <si>
    <t xml:space="preserve">R103</t>
  </si>
  <si>
    <t xml:space="preserve">Câmara Municipal › Aula, na prática</t>
  </si>
  <si>
    <t xml:space="preserve">Os vereadores aprovaram uma lei de horário do comércio? Ela só vale depois de sancionada (ou de o veto ser derrubado) e publicada.</t>
  </si>
  <si>
    <t xml:space="preserve">R104</t>
  </si>
  <si>
    <t xml:space="preserve">Câmara Municipal › Prova, pergunta 1</t>
  </si>
  <si>
    <t xml:space="preserve">Qual a "constituição" de um município? → Resposta: A Lei Orgânica Municipal. O art. 29 da CF determina que o município se rege por lei orgânica.</t>
  </si>
  <si>
    <t xml:space="preserve">O art. 29 da CF determina que o município se rege por lei orgânica.</t>
  </si>
  <si>
    <t xml:space="preserve">R105</t>
  </si>
  <si>
    <t xml:space="preserve">Câmara Municipal › Prova, pergunta 2</t>
  </si>
  <si>
    <t xml:space="preserve">O que o prefeito pode fazer com um projeto aprovado pela Câmara? → Resposta: Sancionar ou vetar. O chefe do Executivo participa do processo legislativo sancionando ou vetando o projeto; a Câmara pode derrubar o veto.</t>
  </si>
  <si>
    <t xml:space="preserve">O chefe do Executivo participa do processo legislativo sancionando ou vetando o projeto; a Câmara pode derrubar o veto.</t>
  </si>
  <si>
    <t xml:space="preserve">R106</t>
  </si>
  <si>
    <t xml:space="preserve">Câmara Municipal › Prova, pergunta 3</t>
  </si>
  <si>
    <t xml:space="preserve">Quem fiscaliza as contas do prefeito? → Resposta: A Câmara, com auxílio do Tribunal de Contas. CF, art. 31: a fiscalização do município é exercida pela Câmara, mediante controle externo, com auxílio dos Tribunais de Contas.</t>
  </si>
  <si>
    <t xml:space="preserve">CF, art. 31: a fiscalização do município é exercida pela Câmara, mediante controle externo, com auxílio dos Tribunais de Contas.</t>
  </si>
  <si>
    <t xml:space="preserve">R107</t>
  </si>
  <si>
    <t xml:space="preserve">Cartório › Aula</t>
  </si>
  <si>
    <t xml:space="preserve">Direito de Família e Registros</t>
  </si>
  <si>
    <t xml:space="preserve">Os cartórios dão segurança e publicidade a atos importantes da vida: nascimento, casamento, compra de imóveis.</t>
  </si>
  <si>
    <t xml:space="preserve">R108</t>
  </si>
  <si>
    <t xml:space="preserve">Cartório › Aula, ponto 1</t>
  </si>
  <si>
    <t xml:space="preserve">O registro de nascimento e a primeira certidão são gratuitos para todos (Lei 9.534/1997; CF, art. 5º, LXXVI).</t>
  </si>
  <si>
    <t xml:space="preserve">Lei 9.534/1997; CF, art. 5º, LXXVI</t>
  </si>
  <si>
    <t xml:space="preserve">R109</t>
  </si>
  <si>
    <t xml:space="preserve">Cartório › Aula, ponto 2</t>
  </si>
  <si>
    <t xml:space="preserve">A idade mínima para casar é 16 anos, com autorização dos pais até os 18; menores de 16 não podem casar em hipótese alguma (CC, arts. 1.517 e 1.520).</t>
  </si>
  <si>
    <t xml:space="preserve">R110</t>
  </si>
  <si>
    <t xml:space="preserve">Cartório › Aula, ponto 3</t>
  </si>
  <si>
    <t xml:space="preserve">A união estável é reconhecida como entidade familiar: convivência pública, contínua e duradoura com objetivo de constituir família (CC, art. 1.723).</t>
  </si>
  <si>
    <t xml:space="preserve">CC, art. 1.723</t>
  </si>
  <si>
    <t xml:space="preserve">R111</t>
  </si>
  <si>
    <t xml:space="preserve">Cartório › Aula, ponto 4</t>
  </si>
  <si>
    <t xml:space="preserve">Divórcio consensual, sem filhos menores ou incapazes, pode ser feito direto no cartório, com advogado (CPC, art. 733).</t>
  </si>
  <si>
    <t xml:space="preserve">CPC, art. 733</t>
  </si>
  <si>
    <t xml:space="preserve">R112</t>
  </si>
  <si>
    <t xml:space="preserve">Cartório › Aula, na prática</t>
  </si>
  <si>
    <t xml:space="preserve">Casal sem filhos menores quer se divorciar de comum acordo? Não precisa de processo: basta uma escritura no tabelionato, com advogado.</t>
  </si>
  <si>
    <t xml:space="preserve">R113</t>
  </si>
  <si>
    <t xml:space="preserve">Cartório › Prova, pergunta 1</t>
  </si>
  <si>
    <t xml:space="preserve">Quanto custa o registro de nascimento? → Resposta: É gratuito. O registro civil de nascimento e a certidão de óbito são gratuitos (CF, art. 5º, LXXVI; Lei 9.534/97).</t>
  </si>
  <si>
    <t xml:space="preserve">O registro civil de nascimento e a certidão de óbito são gratuitos (CF, art. 5º, LXXVI; Lei 9.534/97).</t>
  </si>
  <si>
    <t xml:space="preserve">R114</t>
  </si>
  <si>
    <t xml:space="preserve">Cartório › Prova, pergunta 2</t>
  </si>
  <si>
    <t xml:space="preserve">Uma pessoa de 15 anos pode se casar? → Resposta: Não, em nenhuma hipótese. Desde a Lei 13.811/2019, o art. 1.520 do CC proíbe, em qualquer caso, o casamento de quem não atingiu 16 anos.</t>
  </si>
  <si>
    <t xml:space="preserve">Desde a Lei 13.811/2019, o art. 1.520 do CC proíbe, em qualquer caso, o casamento de quem não atingiu 16 anos.</t>
  </si>
  <si>
    <t xml:space="preserve">R115</t>
  </si>
  <si>
    <t xml:space="preserve">Cartório › Prova, pergunta 3</t>
  </si>
  <si>
    <t xml:space="preserve">Divórcio consensual sem filhos menores pode ser feito onde? → Resposta: No cartório, por escritura pública, com advogado. O art. 733 do CPC permite o divórcio consensual por escritura pública, com assistência de advogado ou defensor.</t>
  </si>
  <si>
    <t xml:space="preserve">O art. 733 do CPC permite o divórcio consensual por escritura pública, com assistência de advogado ou defensor.</t>
  </si>
  <si>
    <t xml:space="preserve">R116</t>
  </si>
  <si>
    <t xml:space="preserve">Centro de Dados › Aula</t>
  </si>
  <si>
    <t xml:space="preserve">Proteção de Dados (LGPD)</t>
  </si>
  <si>
    <t xml:space="preserve">A LGPD (Lei 13.709/2018) dá às pessoas controle sobre seus dados pessoais e impõe regras a quem os coleta.</t>
  </si>
  <si>
    <t xml:space="preserve">R117</t>
  </si>
  <si>
    <t xml:space="preserve">Centro de Dados › Aula, ponto 1</t>
  </si>
  <si>
    <t xml:space="preserve">Todo tratamento de dados precisa de uma base legal — o consentimento é uma delas, mas existem outras, como cumprir obrigação legal ou executar contrato (art. 7º).</t>
  </si>
  <si>
    <t xml:space="preserve">art. 7º</t>
  </si>
  <si>
    <t xml:space="preserve">R118</t>
  </si>
  <si>
    <t xml:space="preserve">Centro de Dados › Aula, ponto 2</t>
  </si>
  <si>
    <t xml:space="preserve">Dados sensíveis (saúde, religião, origem racial, biometria, opinião política, vida sexual...) têm proteção reforçada (art. 5º, II e art. 11).</t>
  </si>
  <si>
    <t xml:space="preserve">art. 5º, II e art. 11</t>
  </si>
  <si>
    <t xml:space="preserve">R119</t>
  </si>
  <si>
    <t xml:space="preserve">Centro de Dados › Aula, ponto 3</t>
  </si>
  <si>
    <t xml:space="preserve">O titular pode pedir acesso, correção e eliminação dos seus dados (art. 18).</t>
  </si>
  <si>
    <t xml:space="preserve">art. 18</t>
  </si>
  <si>
    <t xml:space="preserve">R120</t>
  </si>
  <si>
    <t xml:space="preserve">Centro de Dados › Aula, ponto 4</t>
  </si>
  <si>
    <t xml:space="preserve">Dados de crianças só podem ser tratados com consentimento específico de pelo menos um dos pais ou responsável (art. 14).</t>
  </si>
  <si>
    <t xml:space="preserve">art. 14</t>
  </si>
  <si>
    <t xml:space="preserve">R121</t>
  </si>
  <si>
    <t xml:space="preserve">Centro de Dados › Aula, ponto 5</t>
  </si>
  <si>
    <t xml:space="preserve">A fiscalização é feita pela ANPD, e as multas podem chegar a 2% do faturamento, limitadas a R$ 50 milhões por infração (art. 52).</t>
  </si>
  <si>
    <t xml:space="preserve">art. 52</t>
  </si>
  <si>
    <t xml:space="preserve">R122</t>
  </si>
  <si>
    <t xml:space="preserve">Centro de Dados › Aula, na prática</t>
  </si>
  <si>
    <t xml:space="preserve">A farmácia pede seu CPF para dar desconto? Ela deve informar para que vai usar seus dados — e você pode pedir para ver ou apagar.</t>
  </si>
  <si>
    <t xml:space="preserve">R123</t>
  </si>
  <si>
    <t xml:space="preserve">Centro de Dados › Prova, pergunta 1</t>
  </si>
  <si>
    <t xml:space="preserve">Qual destes é um dado pessoal SENSÍVEL pela LGPD? → Resposta: Informação sobre saúde. O art. 5º, II, lista como sensíveis dados de saúde, religião, origem racial, biometria, entre outros.</t>
  </si>
  <si>
    <t xml:space="preserve">O art. 5º, II, lista como sensíveis dados de saúde, religião, origem racial, biometria, entre outros.</t>
  </si>
  <si>
    <t xml:space="preserve">R124</t>
  </si>
  <si>
    <t xml:space="preserve">Centro de Dados › Prova, pergunta 2</t>
  </si>
  <si>
    <t xml:space="preserve">O consentimento é a única base legal para tratar dados? → Resposta: Não, a LGPD prevê outras bases, como cumprir obrigação legal. O art. 7º prevê dez bases legais; o consentimento é apenas uma delas.</t>
  </si>
  <si>
    <t xml:space="preserve">O art. 7º prevê dez bases legais; o consentimento é apenas uma delas.</t>
  </si>
  <si>
    <t xml:space="preserve">R125</t>
  </si>
  <si>
    <t xml:space="preserve">Centro de Dados › Prova, pergunta 3</t>
  </si>
  <si>
    <t xml:space="preserve">Quem fiscaliza o cumprimento da LGPD? → Resposta: A ANPD. A Autoridade Nacional de Proteção de Dados (ANPD) é o órgão responsável.</t>
  </si>
  <si>
    <t xml:space="preserve">A Autoridade Nacional de Proteção de Dados (ANPD) é o órgão responsável.</t>
  </si>
  <si>
    <t xml:space="preserve">R126</t>
  </si>
  <si>
    <t xml:space="preserve">Terminal de Ônibus › Aula</t>
  </si>
  <si>
    <t xml:space="preserve">Trânsito, Idoso e Acessibilidade</t>
  </si>
  <si>
    <t xml:space="preserve">A cidade deve ser segura e acessível para todos: pedestres, idosos e pessoas com deficiência.</t>
  </si>
  <si>
    <t xml:space="preserve">R127</t>
  </si>
  <si>
    <t xml:space="preserve">Terminal de Ônibus › Aula, ponto 1</t>
  </si>
  <si>
    <t xml:space="preserve">Dirigir sob influência de álcool é infração gravíssima: multa multiplicada por 10 e suspensão do direito de dirigir por 12 meses (CTB, art. 165). Recusar o bafômetro tem a mesma punição (art. 165-A).</t>
  </si>
  <si>
    <t xml:space="preserve">art. 165-A</t>
  </si>
  <si>
    <t xml:space="preserve">R128</t>
  </si>
  <si>
    <t xml:space="preserve">Terminal de Ônibus › Aula, ponto 2</t>
  </si>
  <si>
    <t xml:space="preserve">Na faixa de pedestres sem semáforo, o pedestre tem preferência (CTB, art. 70).</t>
  </si>
  <si>
    <t xml:space="preserve">CTB, art. 70</t>
  </si>
  <si>
    <t xml:space="preserve">R129</t>
  </si>
  <si>
    <t xml:space="preserve">Terminal de Ônibus › Aula, ponto 3</t>
  </si>
  <si>
    <t xml:space="preserve">Maiores de 65 anos têm transporte coletivo urbano gratuito (Estatuto da Pessoa Idosa, Lei 10.741/2003, art. 39).</t>
  </si>
  <si>
    <t xml:space="preserve">Estatuto da Pessoa Idosa, Lei 10.741/2003, art. 39</t>
  </si>
  <si>
    <t xml:space="preserve">R130</t>
  </si>
  <si>
    <t xml:space="preserve">Terminal de Ônibus › Aula, ponto 4</t>
  </si>
  <si>
    <t xml:space="preserve">Estacionamentos devem reservar 5% das vagas a idosos (Estatuto da Pessoa Idosa, art. 41) e 2% a pessoas com deficiência (Lei Brasileira de Inclusão, Lei 13.146/2015, art. 47).</t>
  </si>
  <si>
    <t xml:space="preserve">Lei Brasileira de Inclusão, Lei 13.146/2015, art. 47</t>
  </si>
  <si>
    <t xml:space="preserve">R131</t>
  </si>
  <si>
    <t xml:space="preserve">Terminal de Ônibus › Aula, ponto 5</t>
  </si>
  <si>
    <t xml:space="preserve">Discriminar pessoa em razão de sua deficiência é crime (LBI, art. 88).</t>
  </si>
  <si>
    <t xml:space="preserve">LBI, art. 88</t>
  </si>
  <si>
    <t xml:space="preserve">R132</t>
  </si>
  <si>
    <t xml:space="preserve">Terminal de Ônibus › Aula, na prática</t>
  </si>
  <si>
    <t xml:space="preserve">Um senhor de 66 anos quer embarcar sem pagar no ônibus urbano? É direito dele — basta apresentar documento com a idade.</t>
  </si>
  <si>
    <t xml:space="preserve">R133</t>
  </si>
  <si>
    <t xml:space="preserve">Terminal de Ônibus › Prova, pergunta 1</t>
  </si>
  <si>
    <t xml:space="preserve">A partir de que idade o transporte coletivo urbano é gratuito? → Resposta: 65 anos. Art. 39 do Estatuto da Pessoa Idosa (Lei 10.741/2003) e art. 230, §2º, da CF.</t>
  </si>
  <si>
    <t xml:space="preserve">Art. 39 do Estatuto da Pessoa Idosa (Lei 10.741/2003) e art. 230, §2º, da CF.</t>
  </si>
  <si>
    <t xml:space="preserve">R134</t>
  </si>
  <si>
    <t xml:space="preserve">Terminal de Ônibus › Prova, pergunta 2</t>
  </si>
  <si>
    <t xml:space="preserve">Recusar o teste do bafômetro: → Resposta: Tem as mesmas penalidades de dirigir alcoolizado. O art. 165-A do CTB pune a recusa com as mesmas penalidades do art. 165: multa x10 e suspensão por 12 meses.</t>
  </si>
  <si>
    <t xml:space="preserve">O art. 165-A do CTB pune a recusa com as mesmas penalidades do art. 165: multa x10 e suspensão por 12 meses.</t>
  </si>
  <si>
    <t xml:space="preserve">R135</t>
  </si>
  <si>
    <t xml:space="preserve">Terminal de Ônibus › Prova, pergunta 3</t>
  </si>
  <si>
    <t xml:space="preserve">Qual percentual das vagas de estacionamento é reservado a pessoas com deficiência? → Resposta: 2%. O art. 47 da Lei Brasileira de Inclusão reserva 2% das vagas (garantida no mínimo uma). Para idosos, são 5%.</t>
  </si>
  <si>
    <t xml:space="preserve">O art. 47 da Lei Brasileira de Inclusão reserva 2% das vagas (garantida no mínimo uma). Para idosos, são 5%.</t>
  </si>
  <si>
    <t xml:space="preserve">R136</t>
  </si>
  <si>
    <t xml:space="preserve">Secretaria da Fazenda › Aula</t>
  </si>
  <si>
    <t xml:space="preserve">Direito Tributário</t>
  </si>
  <si>
    <t xml:space="preserve">Tributo só pode ser criado ou aumentado por lei, e cada ente da federação tem seus próprios impostos.</t>
  </si>
  <si>
    <t xml:space="preserve">R137</t>
  </si>
  <si>
    <t xml:space="preserve">Secretaria da Fazenda › Aula, ponto 1</t>
  </si>
  <si>
    <t xml:space="preserve">O município pode instituir IPTU (imóveis urbanos), ITBI (transmissão de imóveis) e ISS (serviços) (CF, art. 156).</t>
  </si>
  <si>
    <t xml:space="preserve">CF, art. 156</t>
  </si>
  <si>
    <t xml:space="preserve">Reforma Tributária (EC 132/2023 e LC 214/2025): o ISS será substituído gradualmente pelo IBS até 2033. Avaliar nota de transição.</t>
  </si>
  <si>
    <t xml:space="preserve">R138</t>
  </si>
  <si>
    <t xml:space="preserve">Secretaria da Fazenda › Aula, ponto 2</t>
  </si>
  <si>
    <t xml:space="preserve">Nenhum tributo pode ser criado ou aumentado sem lei — princípio da legalidade tributária (CF, art. 150, I).</t>
  </si>
  <si>
    <t xml:space="preserve">CF, art. 150, I</t>
  </si>
  <si>
    <t xml:space="preserve">R139</t>
  </si>
  <si>
    <t xml:space="preserve">Secretaria da Fazenda › Aula, ponto 3</t>
  </si>
  <si>
    <t xml:space="preserve">Anterioridade: em regra, o tributo criado ou aumentado só pode ser cobrado no ano seguinte e após 90 dias da publicação da lei (CF, art. 150, III, "b" e "c").</t>
  </si>
  <si>
    <t xml:space="preserve">CF, art. 150, III, "b" e "c"</t>
  </si>
  <si>
    <t xml:space="preserve">R140</t>
  </si>
  <si>
    <t xml:space="preserve">Secretaria da Fazenda › Aula, ponto 4</t>
  </si>
  <si>
    <t xml:space="preserve">Templos, partidos políticos, sindicatos de trabalhadores e entidades de educação e assistência sem fins lucrativos têm imunidade de impostos sobre seu patrimônio, renda e serviços (CF, art. 150, VI).</t>
  </si>
  <si>
    <t xml:space="preserve">CF, art. 150, VI</t>
  </si>
  <si>
    <t xml:space="preserve">R141</t>
  </si>
  <si>
    <t xml:space="preserve">Secretaria da Fazenda › Aula, ponto 5</t>
  </si>
  <si>
    <t xml:space="preserve">O gestor não pode gastar mais do que arrecada: a Lei de Responsabilidade Fiscal (LC 101/2000) impõe limites e transparência nas contas.</t>
  </si>
  <si>
    <t xml:space="preserve">R142</t>
  </si>
  <si>
    <t xml:space="preserve">Secretaria da Fazenda › Aula, na prática</t>
  </si>
  <si>
    <t xml:space="preserve">O prefeito quer aumentar o IPTU por decreto em dezembro para cobrar em janeiro? Não pode: precisa de lei e deve respeitar a anterioridade.</t>
  </si>
  <si>
    <t xml:space="preserve">R143</t>
  </si>
  <si>
    <t xml:space="preserve">Secretaria da Fazenda › Prova, pergunta 1</t>
  </si>
  <si>
    <t xml:space="preserve">Qual destes impostos é municipal? → Resposta: IPTU. IPTU, ITBI e ISS são municipais (CF, art. 156). IPVA e ICMS são estaduais; o IR é federal.</t>
  </si>
  <si>
    <t xml:space="preserve">IPTU, ITBI e ISS são municipais (CF, art. 156). IPVA e ICMS são estaduais; o IR é federal.</t>
  </si>
  <si>
    <t xml:space="preserve">R144</t>
  </si>
  <si>
    <t xml:space="preserve">Secretaria da Fazenda › Prova, pergunta 2</t>
  </si>
  <si>
    <t xml:space="preserve">O prefeito pode aumentar um imposto por decreto? → Resposta: Não, é preciso lei. Princípio da legalidade tributária: CF, art. 150, I.</t>
  </si>
  <si>
    <t xml:space="preserve">Princípio da legalidade tributária: CF, art. 150, I.</t>
  </si>
  <si>
    <t xml:space="preserve">R145</t>
  </si>
  <si>
    <t xml:space="preserve">Secretaria da Fazenda › Prova, pergunta 3</t>
  </si>
  <si>
    <t xml:space="preserve">Uma igreja deve pagar IPTU sobre o templo? → Resposta: Não, templos de qualquer culto têm imunidade. O art. 150, VI, "b", da CF garante imunidade aos templos de qualquer culto (e a EC 116/2022 estendeu ao IPTU de imóveis alugados para o templo).</t>
  </si>
  <si>
    <t xml:space="preserve">O art. 150, VI, "b", da CF garante imunidade aos templos de qualquer culto (e a EC 116/2022 estendeu ao IPTU de imóveis alugados para o templo).</t>
  </si>
  <si>
    <t xml:space="preserve">R146</t>
  </si>
  <si>
    <t xml:space="preserve">Banco › Aula</t>
  </si>
  <si>
    <t xml:space="preserve">Direito Bancário</t>
  </si>
  <si>
    <t xml:space="preserve">Banco também é fornecedor: o cliente é consumidor e tem a proteção do CDC.</t>
  </si>
  <si>
    <t xml:space="preserve">R147</t>
  </si>
  <si>
    <t xml:space="preserve">Banco › Aula, ponto 1</t>
  </si>
  <si>
    <t xml:space="preserve">O Código de Defesa do Consumidor se aplica às instituições financeiras (Súmula 297 do STJ).</t>
  </si>
  <si>
    <t xml:space="preserve">Súmula 297 do STJ</t>
  </si>
  <si>
    <t xml:space="preserve">R148</t>
  </si>
  <si>
    <t xml:space="preserve">Banco › Aula, ponto 2</t>
  </si>
  <si>
    <t xml:space="preserve">Bancos respondem pelos danos de fraudes praticadas por terceiros em operações bancárias, como golpes com cartão clonado — é risco da atividade (Súmula 479 do STJ).</t>
  </si>
  <si>
    <t xml:space="preserve">Súmula 479 do STJ</t>
  </si>
  <si>
    <t xml:space="preserve">R149</t>
  </si>
  <si>
    <t xml:space="preserve">Banco › Aula, ponto 3</t>
  </si>
  <si>
    <t xml:space="preserve">Quem cobra dívida indevida e recebe deve devolver em dobro o que foi pago a mais, salvo engano justificável (CDC, art. 42, parágrafo único).</t>
  </si>
  <si>
    <t xml:space="preserve">CDC, art. 42, parágrafo único</t>
  </si>
  <si>
    <t xml:space="preserve">R150</t>
  </si>
  <si>
    <t xml:space="preserve">Banco › Aula, ponto 4</t>
  </si>
  <si>
    <t xml:space="preserve">A Lei do Superendividamento (Lei 14.181/2021) permite ao consumidor endividado renegociar todas as dívidas num plano de pagamento, preservando o mínimo existencial (CDC, arts. 54-A e 104-A).</t>
  </si>
  <si>
    <t xml:space="preserve">CDC, arts. 54-A e 104-A</t>
  </si>
  <si>
    <t xml:space="preserve">R151</t>
  </si>
  <si>
    <t xml:space="preserve">Banco › Aula, na prática</t>
  </si>
  <si>
    <t xml:space="preserve">Apareceu no extrato um empréstimo que você nunca fez? O banco deve cancelar, devolver o que foi descontado e pode ter de indenizar.</t>
  </si>
  <si>
    <t xml:space="preserve">R152</t>
  </si>
  <si>
    <t xml:space="preserve">Banco › Prova, pergunta 1</t>
  </si>
  <si>
    <t xml:space="preserve">O Código de Defesa do Consumidor vale para bancos? → Resposta: Sim, conforme a Súmula 297 do STJ. A Súmula 297 do STJ diz que o CDC é aplicável às instituições financeiras.</t>
  </si>
  <si>
    <t xml:space="preserve">A Súmula 297 do STJ diz que o CDC é aplicável às instituições financeiras.</t>
  </si>
  <si>
    <t xml:space="preserve">R153</t>
  </si>
  <si>
    <t xml:space="preserve">Banco › Prova, pergunta 2</t>
  </si>
  <si>
    <t xml:space="preserve">Um golpista clonou o cartão do cliente e fez compras. Em regra, quem responde? → Resposta: O banco, pois fraude de terceiros é risco da atividade bancária. Súmula 479 do STJ: as instituições financeiras respondem objetivamente por danos de fraudes e delitos de terceiros no âmbito das operações bancárias.</t>
  </si>
  <si>
    <t xml:space="preserve">Súmula 479 do STJ: as instituições financeiras respondem objetivamente por danos de fraudes e delitos de terceiros no âmbito das operações bancárias.</t>
  </si>
  <si>
    <t xml:space="preserve">R154</t>
  </si>
  <si>
    <t xml:space="preserve">Banco › Prova, pergunta 3</t>
  </si>
  <si>
    <t xml:space="preserve">Qual lei protege quem está com dívidas impagáveis, permitindo um plano de pagamento? → Resposta: Lei do Superendividamento (Lei 14.181/2021). A Lei 14.181/2021 incluiu no CDC regras de prevenção e tratamento do superendividamento.</t>
  </si>
  <si>
    <t xml:space="preserve">A Lei 14.181/2021 incluiu no CDC regras de prevenção e tratamento do superendividamento.</t>
  </si>
  <si>
    <t xml:space="preserve">R155</t>
  </si>
  <si>
    <t xml:space="preserve">Agência do INSS › Aula</t>
  </si>
  <si>
    <t xml:space="preserve">Direito Previdenciário</t>
  </si>
  <si>
    <t xml:space="preserve">A Previdência protege quem contribui contra riscos como idade avançada, doença e morte; a Assistência Social ampara quem precisa, mesmo sem contribuir.</t>
  </si>
  <si>
    <t xml:space="preserve">R156</t>
  </si>
  <si>
    <t xml:space="preserve">Agência do INSS › Aula, ponto 1</t>
  </si>
  <si>
    <t xml:space="preserve">A Previdência Social é contributiva: quem contribui (empregado, autônomo, MEI...) tem direito a aposentadoria, auxílio por incapacidade, pensão e outros benefícios (CF, art. 201).</t>
  </si>
  <si>
    <t xml:space="preserve">CF, art. 201</t>
  </si>
  <si>
    <t xml:space="preserve">R157</t>
  </si>
  <si>
    <t xml:space="preserve">Agência do INSS › Aula, ponto 2</t>
  </si>
  <si>
    <t xml:space="preserve">Após a Reforma da Previdência (EC 103/2019), a aposentadoria urbana exige, em regra, 65 anos para homens e 62 para mulheres, além de tempo mínimo de contribuição (CF, art. 201, §7º, I).</t>
  </si>
  <si>
    <t xml:space="preserve">CF, art. 201, §7º, I</t>
  </si>
  <si>
    <t xml:space="preserve">R158</t>
  </si>
  <si>
    <t xml:space="preserve">Agência do INSS › Aula, ponto 3</t>
  </si>
  <si>
    <t xml:space="preserve">O auxílio por incapacidade temporária exige, em regra, 12 contribuições de carência — dispensadas em caso de acidente (Lei 8.213/1991, arts. 25 e 26).</t>
  </si>
  <si>
    <t xml:space="preserve">Lei 8.213/1991, arts. 25 e 26</t>
  </si>
  <si>
    <t xml:space="preserve">R159</t>
  </si>
  <si>
    <t xml:space="preserve">Agência do INSS › Aula, ponto 4</t>
  </si>
  <si>
    <t xml:space="preserve">O BPC/LOAS paga 1 salário mínimo a idosos a partir de 65 anos e a pessoas com deficiência de baixa renda, mesmo sem contribuição (CF, art. 203, V; Lei 8.742/1993, art. 20).</t>
  </si>
  <si>
    <t xml:space="preserve">CF, art. 203, V; Lei 8.742/1993, art. 20</t>
  </si>
  <si>
    <t xml:space="preserve">R160</t>
  </si>
  <si>
    <t xml:space="preserve">Agência do INSS › Aula, na prática</t>
  </si>
  <si>
    <t xml:space="preserve">Dona Maria tem 66 anos, nunca contribuiu e vive com renda muito baixa? Ela pode ter direito ao BPC, que é assistencial.</t>
  </si>
  <si>
    <t xml:space="preserve">R161</t>
  </si>
  <si>
    <t xml:space="preserve">Agência do INSS › Prova, pergunta 1</t>
  </si>
  <si>
    <t xml:space="preserve">Após a EC 103/2019, qual a idade mínima, em regra, para a aposentadoria urbana da mulher? → Resposta: 62 anos. CF, art. 201, §7º, I: 65 anos para homens e 62 para mulheres, com tempo mínimo de contribuição.</t>
  </si>
  <si>
    <t xml:space="preserve">CF, art. 201, §7º, I: 65 anos para homens e 62 para mulheres, com tempo mínimo de contribuição.</t>
  </si>
  <si>
    <t xml:space="preserve">R162</t>
  </si>
  <si>
    <t xml:space="preserve">Agência do INSS › Prova, pergunta 2</t>
  </si>
  <si>
    <t xml:space="preserve">O BPC/LOAS exige contribuição ao INSS? → Resposta: Não, é benefício assistencial para quem tem baixa renda. O BPC é assistencial (CF, art. 203, V): independe de contribuição, mas exige critérios de renda e idade ou deficiência.</t>
  </si>
  <si>
    <t xml:space="preserve">O BPC é assistencial (CF, art. 203, V): independe de contribuição, mas exige critérios de renda e idade ou deficiência.</t>
  </si>
  <si>
    <t xml:space="preserve">R163</t>
  </si>
  <si>
    <t xml:space="preserve">Agência do INSS › Prova, pergunta 3</t>
  </si>
  <si>
    <t xml:space="preserve">Um trabalhador com 2 meses de contribuição sofreu acidente e ficou afastado. Ele precisa cumprir a carência de 12 meses? → Resposta: Não, em caso de acidente a carência é dispensada. O art. 26, II, da Lei 8.213/91 dispensa a carência do auxílio por incapacidade decorrente de acidente de qualquer natureza.</t>
  </si>
  <si>
    <t xml:space="preserve">O art. 26, II, da Lei 8.213/91 dispensa a carência do auxílio por incapacidade decorrente de acidente de qualquer natureza.</t>
  </si>
  <si>
    <t xml:space="preserve">R164</t>
  </si>
  <si>
    <t xml:space="preserve">Condomínio › Aula</t>
  </si>
  <si>
    <t xml:space="preserve">Direito Condominial</t>
  </si>
  <si>
    <t xml:space="preserve">No condomínio, cada um é dono da sua unidade e todos dividem as áreas comuns, seguindo o Código Civil e a convenção.</t>
  </si>
  <si>
    <t xml:space="preserve">R165</t>
  </si>
  <si>
    <t xml:space="preserve">Condomínio › Aula, ponto 1</t>
  </si>
  <si>
    <t xml:space="preserve">O condomínio edilício é regido pelo Código Civil (arts. 1.331 a 1.358), pela convenção e pelo regimento interno.</t>
  </si>
  <si>
    <t xml:space="preserve">R166</t>
  </si>
  <si>
    <t xml:space="preserve">Condomínio › Aula, ponto 2</t>
  </si>
  <si>
    <t xml:space="preserve">A multa por atraso da taxa condominial é de no máximo 2%, mais juros (CC, art. 1.336, §1º).</t>
  </si>
  <si>
    <t xml:space="preserve">CC, art. 1.336, §1º</t>
  </si>
  <si>
    <t xml:space="preserve">R167</t>
  </si>
  <si>
    <t xml:space="preserve">Condomínio › Aula, ponto 3</t>
  </si>
  <si>
    <t xml:space="preserve">O síndico é eleito em assembleia, com mandato de até 2 anos, que pode ser renovado (CC, art. 1.347).</t>
  </si>
  <si>
    <t xml:space="preserve">CC, art. 1.347</t>
  </si>
  <si>
    <t xml:space="preserve">R168</t>
  </si>
  <si>
    <t xml:space="preserve">Condomínio › Aula, ponto 4</t>
  </si>
  <si>
    <t xml:space="preserve">O condômino com comportamento antissocial reiterado pode ser multado em até 10 vezes a taxa condominial, por deliberação da assembleia (CC, art. 1.337, parágrafo único).</t>
  </si>
  <si>
    <t xml:space="preserve">CC, art. 1.337, parágrafo único</t>
  </si>
  <si>
    <t xml:space="preserve">R169</t>
  </si>
  <si>
    <t xml:space="preserve">Condomínio › Aula, ponto 5</t>
  </si>
  <si>
    <t xml:space="preserve">A convenção não pode proibir de forma genérica animais de estimação que não tragam risco ou incômodo (STJ, REsp 1.783.076/DF).</t>
  </si>
  <si>
    <t xml:space="preserve">R170</t>
  </si>
  <si>
    <t xml:space="preserve">Condomínio › Aula, na prática</t>
  </si>
  <si>
    <t xml:space="preserve">O condomínio quer cobrar 10% de multa pelo boleto atrasado? Não pode: o limite legal é 2%, mais juros.</t>
  </si>
  <si>
    <t xml:space="preserve">R171</t>
  </si>
  <si>
    <t xml:space="preserve">Condomínio › Prova, pergunta 1</t>
  </si>
  <si>
    <t xml:space="preserve">Qual a multa máxima por atraso na taxa de condomínio? → Resposta: 2%. CC, art. 1.336, §1º: multa de até 2% sobre o débito, além dos juros.</t>
  </si>
  <si>
    <t xml:space="preserve">CC, art. 1.336, §1º: multa de até 2% sobre o débito, além dos juros.</t>
  </si>
  <si>
    <t xml:space="preserve">R172</t>
  </si>
  <si>
    <t xml:space="preserve">Condomínio › Prova, pergunta 2</t>
  </si>
  <si>
    <t xml:space="preserve">Qual o mandato máximo do síndico? → Resposta: 2 anos, renovável. CC, art. 1.347: mandato não superior a dois anos, o qual poderá renovar-se.</t>
  </si>
  <si>
    <t xml:space="preserve">CC, art. 1.347: mandato não superior a dois anos, o qual poderá renovar-se.</t>
  </si>
  <si>
    <t xml:space="preserve">R173</t>
  </si>
  <si>
    <t xml:space="preserve">Condomínio › Prova, pergunta 3</t>
  </si>
  <si>
    <t xml:space="preserve">A convenção pode proibir qualquer animal de estimação, mesmo um gato que não incomoda ninguém? → Resposta: Não, a proibição genérica é inválida, segundo o STJ. O STJ (REsp 1.783.076/DF) entendeu que a proibição genérica de animais que não causam risco ou incômodo é desarrazoada.</t>
  </si>
  <si>
    <t xml:space="preserve">O STJ (REsp 1.783.076/DF) entendeu que a proibição genérica de animais que não causam risco ou incômodo é desarrazoada.</t>
  </si>
  <si>
    <t xml:space="preserve">R174</t>
  </si>
  <si>
    <t xml:space="preserve">Templo › Aula</t>
  </si>
  <si>
    <t xml:space="preserve">Liberdade Religiosa</t>
  </si>
  <si>
    <t xml:space="preserve">O Brasil é um Estado laico: todas as crenças são livres e o poder público não pode favorecer nem perseguir nenhuma.</t>
  </si>
  <si>
    <t xml:space="preserve">R175</t>
  </si>
  <si>
    <t xml:space="preserve">Templo › Aula, ponto 1</t>
  </si>
  <si>
    <t xml:space="preserve">É inviolável a liberdade de consciência e de crença, garantido o livre exercício dos cultos (CF, art. 5º, VI).</t>
  </si>
  <si>
    <t xml:space="preserve">CF, art. 5º, VI</t>
  </si>
  <si>
    <t xml:space="preserve">R176</t>
  </si>
  <si>
    <t xml:space="preserve">Templo › Aula, ponto 2</t>
  </si>
  <si>
    <t xml:space="preserve">O poder público não pode estabelecer cultos, subvencioná-los, embaraçar seu funcionamento ou manter com eles aliança (CF, art. 19, I).</t>
  </si>
  <si>
    <t xml:space="preserve">CF, art. 19, I</t>
  </si>
  <si>
    <t xml:space="preserve">R177</t>
  </si>
  <si>
    <t xml:space="preserve">Templo › Aula, ponto 3</t>
  </si>
  <si>
    <t xml:space="preserve">Templos de qualquer culto têm imunidade de impostos (CF, art. 150, VI, "b").</t>
  </si>
  <si>
    <t xml:space="preserve">CF, art. 150, VI, "b"</t>
  </si>
  <si>
    <t xml:space="preserve">R178</t>
  </si>
  <si>
    <t xml:space="preserve">Templo › Aula, ponto 4</t>
  </si>
  <si>
    <t xml:space="preserve">O estudante pode pedir prestação alternativa quando a prova cair em dia de guarda religiosa (Lei 9.394/1996, art. 7º-A, incluído pela Lei 13.796/2019).</t>
  </si>
  <si>
    <t xml:space="preserve">Lei 9.394/1996, art. 7º-A, incluído pela Lei 13.796/2019</t>
  </si>
  <si>
    <t xml:space="preserve">R179</t>
  </si>
  <si>
    <t xml:space="preserve">Templo › Aula, ponto 5</t>
  </si>
  <si>
    <t xml:space="preserve">Praticar, induzir ou incitar discriminação por religião é crime (Lei 7.716/1989, art. 20).</t>
  </si>
  <si>
    <t xml:space="preserve">Lei 7.716/1989, art. 20</t>
  </si>
  <si>
    <t xml:space="preserve">R180</t>
  </si>
  <si>
    <t xml:space="preserve">Templo › Aula, na prática</t>
  </si>
  <si>
    <t xml:space="preserve">O prefeito quer usar dinheiro público para pintar só a igreja que ele frequenta? Não pode: o Estado é laico (CF, art. 19, I).</t>
  </si>
  <si>
    <t xml:space="preserve">R181</t>
  </si>
  <si>
    <t xml:space="preserve">Templo › Prova, pergunta 1</t>
  </si>
  <si>
    <t xml:space="preserve">O que significa dizer que o Brasil é um Estado laico? → Resposta: Que o Estado não adota nem favorece nenhuma religião, e todas são livres. CF, art. 19, I: é vedado ao poder público estabelecer cultos, subvencioná-los ou embaraçar seu funcionamento.</t>
  </si>
  <si>
    <t xml:space="preserve">CF, art. 19, I: é vedado ao poder público estabelecer cultos, subvencioná-los ou embaraçar seu funcionamento.</t>
  </si>
  <si>
    <t xml:space="preserve">R182</t>
  </si>
  <si>
    <t xml:space="preserve">Templo › Prova, pergunta 2</t>
  </si>
  <si>
    <t xml:space="preserve">Ofender e discriminar alguém por causa de sua religião é: → Resposta: Crime previsto na Lei 7.716/1989. O art. 20 da Lei 7.716/89 pune quem pratica, induz ou incita discriminação por religião.</t>
  </si>
  <si>
    <t xml:space="preserve">O art. 20 da Lei 7.716/89 pune quem pratica, induz ou incita discriminação por religião.</t>
  </si>
  <si>
    <t xml:space="preserve">R183</t>
  </si>
  <si>
    <t xml:space="preserve">Templo › Prova, pergunta 3</t>
  </si>
  <si>
    <t xml:space="preserve">Um aluno guarda o sábado por religião e a prova foi marcada nesse dia. O que a lei prevê? → Resposta: Pode pedir prestação alternativa. A Lei 13.796/2019 incluiu o art. 7º-A na LDB, garantindo prestação alternativa ao aluno.</t>
  </si>
  <si>
    <t xml:space="preserve">A Lei 13.796/2019 incluiu o art. 7º-A na LDB, garantindo prestação alternativa ao aluno.</t>
  </si>
  <si>
    <t xml:space="preserve">R184</t>
  </si>
  <si>
    <t xml:space="preserve">Escritórios › Aula</t>
  </si>
  <si>
    <t xml:space="preserve">Direito Empresarial</t>
  </si>
  <si>
    <t xml:space="preserve">O Direito Empresarial organiza a vida das empresas: como abrir, como os sócios respondem pelas dívidas e o que fazer numa crise.</t>
  </si>
  <si>
    <t xml:space="preserve">R185</t>
  </si>
  <si>
    <t xml:space="preserve">Escritórios › Aula, ponto 1</t>
  </si>
  <si>
    <t xml:space="preserve">Empresário é quem exerce profissionalmente atividade econômica organizada para produzir ou fazer circular bens ou serviços (CC, art. 966).</t>
  </si>
  <si>
    <t xml:space="preserve">CC, art. 966</t>
  </si>
  <si>
    <t xml:space="preserve">R186</t>
  </si>
  <si>
    <t xml:space="preserve">Escritórios › Aula, ponto 2</t>
  </si>
  <si>
    <t xml:space="preserve">É obrigatória a inscrição na Junta Comercial antes de começar a atividade (CC, art. 967).</t>
  </si>
  <si>
    <t xml:space="preserve">CC, art. 967</t>
  </si>
  <si>
    <t xml:space="preserve">R187</t>
  </si>
  <si>
    <t xml:space="preserve">Escritórios › Aula, ponto 3</t>
  </si>
  <si>
    <t xml:space="preserve">Na sociedade limitada, cada sócio responde até o valor de suas quotas; desde 2019 ela pode ter um único sócio (CC, art. 1.052).</t>
  </si>
  <si>
    <t xml:space="preserve">CC, art. 1.052</t>
  </si>
  <si>
    <t xml:space="preserve">R188</t>
  </si>
  <si>
    <t xml:space="preserve">Escritórios › Aula, ponto 4</t>
  </si>
  <si>
    <t xml:space="preserve">Se houver abuso — desvio de finalidade ou confusão entre o patrimônio da empresa e o dos sócios — o juiz pode atingir os bens dos sócios: é a desconsideração da personalidade jurídica (CC, art. 50).</t>
  </si>
  <si>
    <t xml:space="preserve">CC, art. 50</t>
  </si>
  <si>
    <t xml:space="preserve">R189</t>
  </si>
  <si>
    <t xml:space="preserve">Escritórios › Aula, ponto 5</t>
  </si>
  <si>
    <t xml:space="preserve">Empresa em crise pode pedir recuperação judicial para renegociar dívidas e evitar a falência (Lei 11.101/2005).</t>
  </si>
  <si>
    <t xml:space="preserve">Lei 11.101/2005</t>
  </si>
  <si>
    <t xml:space="preserve">R190</t>
  </si>
  <si>
    <t xml:space="preserve">Escritórios › Aula, na prática</t>
  </si>
  <si>
    <t xml:space="preserve">O sócio pagava a reforma da própria casa com a conta da empresa e deixou dívidas? O juiz pode alcançar os bens pessoais dele (CC, art. 50).</t>
  </si>
  <si>
    <t xml:space="preserve">R191</t>
  </si>
  <si>
    <t xml:space="preserve">Escritórios › Prova, pergunta 1</t>
  </si>
  <si>
    <t xml:space="preserve">Na sociedade limitada, até quanto o sócio responde pelas dívidas da empresa, em regra? → Resposta: Até o valor de suas quotas. CC, art. 1.052: a responsabilidade de cada sócio é restrita ao valor de suas quotas (todos respondem solidariamente pela integralização do capital).</t>
  </si>
  <si>
    <t xml:space="preserve">CC, art. 1.052: a responsabilidade de cada sócio é restrita ao valor de suas quotas (todos respondem solidariamente pela integralização do capital).</t>
  </si>
  <si>
    <t xml:space="preserve">R192</t>
  </si>
  <si>
    <t xml:space="preserve">Escritórios › Prova, pergunta 2</t>
  </si>
  <si>
    <t xml:space="preserve">Onde o empresário deve se registrar antes de começar? → Resposta: Na Junta Comercial. CC, art. 967: é obrigatória a inscrição no Registro Público de Empresas Mercantis (Junta Comercial).</t>
  </si>
  <si>
    <t xml:space="preserve">CC, art. 967: é obrigatória a inscrição no Registro Público de Empresas Mercantis (Junta Comercial).</t>
  </si>
  <si>
    <t xml:space="preserve">R193</t>
  </si>
  <si>
    <t xml:space="preserve">Escritórios › Prova, pergunta 3</t>
  </si>
  <si>
    <t xml:space="preserve">Qual instrumento ajuda a empresa em crise a negociar dívidas e continuar funcionando? → Resposta: Recuperação judicial. A recuperação judicial (Lei 11.101/2005) busca viabilizar a superação da crise e preservar a empresa e os empregos.</t>
  </si>
  <si>
    <t xml:space="preserve">A recuperação judicial (Lei 11.101/2005) busca viabilizar a superação da crise e preservar a empresa e os empregos.</t>
  </si>
  <si>
    <t xml:space="preserve">R194</t>
  </si>
  <si>
    <t xml:space="preserve">Bombeiros › Aula</t>
  </si>
  <si>
    <t xml:space="preserve">Prevenção e Defesa Civil</t>
  </si>
  <si>
    <t xml:space="preserve">Prevenir é a melhor proteção: locais com público precisam de regras contra incêndio, e o município deve cuidar das áreas de risco.</t>
  </si>
  <si>
    <t xml:space="preserve">R195</t>
  </si>
  <si>
    <t xml:space="preserve">Bombeiros › Aula, ponto 1</t>
  </si>
  <si>
    <t xml:space="preserve">A Lei Kiss (Lei 13.425/2017) traz normas de prevenção e combate a incêndio em estabelecimentos e locais de reunião de público, com vistoria e licenciamento.</t>
  </si>
  <si>
    <t xml:space="preserve">R196</t>
  </si>
  <si>
    <t xml:space="preserve">Bombeiros › Aula, ponto 2</t>
  </si>
  <si>
    <t xml:space="preserve">A Política Nacional de Proteção e Defesa Civil (Lei 12.608/2012) organiza prevenção, preparação, resposta e recuperação em desastres.</t>
  </si>
  <si>
    <t xml:space="preserve">R197</t>
  </si>
  <si>
    <t xml:space="preserve">Bombeiros › Aula, ponto 3</t>
  </si>
  <si>
    <t xml:space="preserve">Cabe ao município identificar e mapear as áreas de risco, fiscalizá-las e vedar novas ocupações nelas (Lei 12.608/2012, art. 8º).</t>
  </si>
  <si>
    <t xml:space="preserve">Lei 12.608/2012, art. 8º</t>
  </si>
  <si>
    <t xml:space="preserve">R198</t>
  </si>
  <si>
    <t xml:space="preserve">Bombeiros › Aula, ponto 4</t>
  </si>
  <si>
    <t xml:space="preserve">Deixar de prestar socorro, quando possível fazê-lo sem risco pessoal, a quem está em perigo é crime de omissão de socorro (CP, art. 135).</t>
  </si>
  <si>
    <t xml:space="preserve">CP, art. 135</t>
  </si>
  <si>
    <t xml:space="preserve">R199</t>
  </si>
  <si>
    <t xml:space="preserve">Bombeiros › Aula, na prática</t>
  </si>
  <si>
    <t xml:space="preserve">A boate quer abrir no sábado sem a vistoria de prevenção de incêndio? Não pode: locais de reunião de público precisam estar regularizados.</t>
  </si>
  <si>
    <t xml:space="preserve">R200</t>
  </si>
  <si>
    <t xml:space="preserve">Bombeiros › Prova, pergunta 1</t>
  </si>
  <si>
    <t xml:space="preserve">A Lei Kiss (Lei 13.425/2017) trata de quê? → Resposta: Prevenção e combate a incêndio em locais com público. A lei foi criada após a tragédia da boate Kiss (2013) e estabelece diretrizes de prevenção a incêndio em locais de reunião de público.</t>
  </si>
  <si>
    <t xml:space="preserve">A lei foi criada após a tragédia da boate Kiss (2013) e estabelece diretrizes de prevenção a incêndio em locais de reunião de público.</t>
  </si>
  <si>
    <t xml:space="preserve">R201</t>
  </si>
  <si>
    <t xml:space="preserve">Bombeiros › Prova, pergunta 2</t>
  </si>
  <si>
    <t xml:space="preserve">Quem deve mapear áreas de risco de deslizamento e enchente na cidade? → Resposta: O município, com apoio do Estado e da União. Lei 12.608/2012, art. 8º: compete aos municípios identificar e mapear áreas de risco e vedar novas ocupações nelas.</t>
  </si>
  <si>
    <t xml:space="preserve">Lei 12.608/2012, art. 8º: compete aos municípios identificar e mapear áreas de risco e vedar novas ocupações nelas.</t>
  </si>
  <si>
    <t xml:space="preserve">R202</t>
  </si>
  <si>
    <t xml:space="preserve">Bombeiros › Prova, pergunta 3</t>
  </si>
  <si>
    <t xml:space="preserve">Ver alguém ferido e ir embora sem ajudar nem chamar socorro, podendo fazê-lo sem risco, é: → Resposta: Crime de omissão de socorro. CP, art. 135. Ligar para o socorro (192/193) já é uma forma de prestar assistência.</t>
  </si>
  <si>
    <t xml:space="preserve">CP, art. 135. Ligar para o socorro (192/193) já é uma forma de prestar assistência.</t>
  </si>
  <si>
    <t xml:space="preserve">R203</t>
  </si>
  <si>
    <t xml:space="preserve">Ecoponto › Aula</t>
  </si>
  <si>
    <t xml:space="preserve">Resíduos Sólidos</t>
  </si>
  <si>
    <t xml:space="preserve">Lixo é responsabilidade de todos: quem fabrica, quem vende, quem consome e o poder público.</t>
  </si>
  <si>
    <t xml:space="preserve">R204</t>
  </si>
  <si>
    <t xml:space="preserve">Ecoponto › Aula, ponto 1</t>
  </si>
  <si>
    <t xml:space="preserve">A Política Nacional de Resíduos Sólidos (Lei 12.305/2010) cria a responsabilidade compartilhada pelo ciclo de vida dos produtos (art. 30).</t>
  </si>
  <si>
    <t xml:space="preserve">art. 30</t>
  </si>
  <si>
    <t xml:space="preserve">R205</t>
  </si>
  <si>
    <t xml:space="preserve">Ecoponto › Aula, ponto 2</t>
  </si>
  <si>
    <t xml:space="preserve">Logística reversa: fabricantes e comerciantes de pilhas, baterias, pneus, óleos lubrificantes, lâmpadas e eletroeletrônicos devem receber esses produtos de volta após o uso (art. 33).</t>
  </si>
  <si>
    <t xml:space="preserve">art. 33</t>
  </si>
  <si>
    <t xml:space="preserve">R206</t>
  </si>
  <si>
    <t xml:space="preserve">Ecoponto › Aula, ponto 3</t>
  </si>
  <si>
    <t xml:space="preserve">A ordem de prioridade é: não gerar, reduzir, reutilizar, reciclar, tratar e, por último, dar destinação final adequada (art. 9º).</t>
  </si>
  <si>
    <t xml:space="preserve">R207</t>
  </si>
  <si>
    <t xml:space="preserve">Ecoponto › Aula, ponto 4</t>
  </si>
  <si>
    <t xml:space="preserve">É proibido lançar resíduos a céu aberto — os lixões (art. 47, II) — e a lei incentiva a integração de catadores em cooperativas.</t>
  </si>
  <si>
    <t xml:space="preserve">R208</t>
  </si>
  <si>
    <t xml:space="preserve">Ecoponto › Aula, ponto 5</t>
  </si>
  <si>
    <t xml:space="preserve">Cores da coleta seletiva: azul papel, vermelho plástico, verde vidro, amarelo metal e marrom orgânico (Resolução CONAMA 275/2001).</t>
  </si>
  <si>
    <t xml:space="preserve">Resolução CONAMA 275/2001</t>
  </si>
  <si>
    <t xml:space="preserve">R209</t>
  </si>
  <si>
    <t xml:space="preserve">Ecoponto › Aula, na prática</t>
  </si>
  <si>
    <t xml:space="preserve">Pilhas velhas não vão no lixo comum: devolva no comércio que vende pilhas, que é obrigado a recebê-las (logística reversa).</t>
  </si>
  <si>
    <t xml:space="preserve">R210</t>
  </si>
  <si>
    <t xml:space="preserve">Ecoponto › Prova, pergunta 1</t>
  </si>
  <si>
    <t xml:space="preserve">Onde descartar corretamente pilhas e baterias usadas? → Resposta: Nos pontos de coleta do comércio/fabricantes (logística reversa). Lei 12.305/2010, art. 33: pilhas e baterias estão sujeitas à logística reversa.</t>
  </si>
  <si>
    <t xml:space="preserve">Lei 12.305/2010, art. 33: pilhas e baterias estão sujeitas à logística reversa.</t>
  </si>
  <si>
    <t xml:space="preserve">R211</t>
  </si>
  <si>
    <t xml:space="preserve">Ecoponto › Prova, pergunta 2</t>
  </si>
  <si>
    <t xml:space="preserve">Qual a primeira prioridade na gestão de resíduos? → Resposta: Não gerar. Art. 9º: não geração, redução, reutilização, reciclagem, tratamento e disposição final adequada, nessa ordem.</t>
  </si>
  <si>
    <t xml:space="preserve">Art. 9º: não geração, redução, reutilização, reciclagem, tratamento e disposição final adequada, nessa ordem.</t>
  </si>
  <si>
    <t xml:space="preserve">R212</t>
  </si>
  <si>
    <t xml:space="preserve">Ecoponto › Prova, pergunta 3</t>
  </si>
  <si>
    <t xml:space="preserve">Na coleta seletiva, o vidro vai em qual cor de lixeira? → Resposta: Verde. Resolução CONAMA 275/2001: verde para vidro (azul papel, vermelho plástico, amarelo metal, marrom orgânico).</t>
  </si>
  <si>
    <t xml:space="preserve">Resolução CONAMA 275/2001: verde para vidro (azul papel, vermelho plástico, amarelo metal, marrom orgânico).</t>
  </si>
  <si>
    <t xml:space="preserve">R213</t>
  </si>
  <si>
    <t xml:space="preserve">Centro Cultural › Aula</t>
  </si>
  <si>
    <t xml:space="preserve">Direitos Autorais</t>
  </si>
  <si>
    <t xml:space="preserve">Músicas, livros, filmes e fotos têm dono: o autor decide como sua obra pode ser usada — por um tempo limitado.</t>
  </si>
  <si>
    <t xml:space="preserve">R214</t>
  </si>
  <si>
    <t xml:space="preserve">Centro Cultural › Aula, ponto 1</t>
  </si>
  <si>
    <t xml:space="preserve">A Lei 9.610/1998 protege as obras intelectuais, como músicas, textos, filmes, fotografias e obras de arte.</t>
  </si>
  <si>
    <t xml:space="preserve">R215</t>
  </si>
  <si>
    <t xml:space="preserve">Centro Cultural › Aula, ponto 2</t>
  </si>
  <si>
    <t xml:space="preserve">Os direitos patrimoniais duram toda a vida do autor e mais 70 anos, contados de 1º de janeiro do ano seguinte à sua morte; depois, a obra cai em domínio público (art. 41).</t>
  </si>
  <si>
    <t xml:space="preserve">art. 41</t>
  </si>
  <si>
    <t xml:space="preserve">R216</t>
  </si>
  <si>
    <t xml:space="preserve">Centro Cultural › Aula, ponto 3</t>
  </si>
  <si>
    <t xml:space="preserve">Tocar músicas em locais de frequência coletiva — festas, lojas, academias, eventos públicos — exige autorização e pagamento ao ECAD (arts. 68 e 99).</t>
  </si>
  <si>
    <t xml:space="preserve">R217</t>
  </si>
  <si>
    <t xml:space="preserve">Centro Cultural › Aula, ponto 4</t>
  </si>
  <si>
    <t xml:space="preserve">É livre citar trechos de obras para estudo, crítica ou polêmica, indicando o autor e a origem (art. 46, III).</t>
  </si>
  <si>
    <t xml:space="preserve">art. 46, III</t>
  </si>
  <si>
    <t xml:space="preserve">R218</t>
  </si>
  <si>
    <t xml:space="preserve">Centro Cultural › Aula, ponto 5</t>
  </si>
  <si>
    <t xml:space="preserve">Paródias e paráfrases são livres, desde que não sejam reproduções da obra original nem a desacreditem (art. 47).</t>
  </si>
  <si>
    <t xml:space="preserve">art. 47</t>
  </si>
  <si>
    <t xml:space="preserve">R219</t>
  </si>
  <si>
    <t xml:space="preserve">Centro Cultural › Aula, na prática</t>
  </si>
  <si>
    <t xml:space="preserve">Quer encenar um texto de Machado de Assis, que morreu em 1908? Pode: a obra já está em domínio público.</t>
  </si>
  <si>
    <t xml:space="preserve">R220</t>
  </si>
  <si>
    <t xml:space="preserve">Centro Cultural › Prova, pergunta 1</t>
  </si>
  <si>
    <t xml:space="preserve">Por quanto tempo, após a morte do autor, a obra continua protegida? → Resposta: 70 anos. Lei 9.610/98, art. 41: 70 anos contados de 1º de janeiro do ano subsequente ao falecimento.</t>
  </si>
  <si>
    <t xml:space="preserve">Lei 9.610/98, art. 41: 70 anos contados de 1º de janeiro do ano subsequente ao falecimento.</t>
  </si>
  <si>
    <t xml:space="preserve">R221</t>
  </si>
  <si>
    <t xml:space="preserve">Centro Cultural › Prova, pergunta 2</t>
  </si>
  <si>
    <t xml:space="preserve">Uma festa aberta ao público vai tocar músicas de sucesso. O que é necessário? → Resposta: Autorização e recolhimento ao ECAD. Arts. 68 e 99 da Lei 9.610/98: execução pública em locais de frequência coletiva depende de autorização, e a arrecadação é feita pelo ECAD.</t>
  </si>
  <si>
    <t xml:space="preserve">Arts. 68 e 99 da Lei 9.610/98: execução pública em locais de frequência coletiva depende de autorização, e a arrecadação é feita pelo ECAD.</t>
  </si>
  <si>
    <t xml:space="preserve">R222</t>
  </si>
  <si>
    <t xml:space="preserve">Centro Cultural › Prova, pergunta 3</t>
  </si>
  <si>
    <t xml:space="preserve">Citar um trecho de um livro num trabalho escolar, com o nome do autor, é: → Resposta: Permitido (direito de citação). Art. 46, III: é permitida a citação para fins de estudo, crítica ou polêmica, indicando o autor e a origem.</t>
  </si>
  <si>
    <t xml:space="preserve">Art. 46, III: é permitida a citação para fins de estudo, crítica ou polêmica, indicando o autor e a origem.</t>
  </si>
  <si>
    <t xml:space="preserve">R223</t>
  </si>
  <si>
    <t xml:space="preserve">Estação de Água › Aula</t>
  </si>
  <si>
    <t xml:space="preserve">Saneamento: Água Potável</t>
  </si>
  <si>
    <t xml:space="preserve">Água tratada na torneira é saneamento básico — e o Novo Marco do Saneamento fixou metas para levá-la a quase todos até 2033.</t>
  </si>
  <si>
    <t xml:space="preserve">Novo Marco do Saneamento: conferir metas e prazos atualizados.</t>
  </si>
  <si>
    <t xml:space="preserve">R224</t>
  </si>
  <si>
    <t xml:space="preserve">Estação de Água › Aula, ponto 1</t>
  </si>
  <si>
    <t xml:space="preserve">Saneamento básico reúne abastecimento de água, esgotamento sanitário, limpeza urbana e manejo de resíduos, e drenagem das águas da chuva (Lei 11.445/2007, art. 3º, I).</t>
  </si>
  <si>
    <t xml:space="preserve">Lei 11.445/2007, art. 3º, I</t>
  </si>
  <si>
    <t xml:space="preserve">R225</t>
  </si>
  <si>
    <t xml:space="preserve">Estação de Água › Aula, ponto 2</t>
  </si>
  <si>
    <t xml:space="preserve">O Novo Marco do Saneamento (Lei 14.026/2020) fixou a meta de garantir, até 31/12/2033, água potável a 99% da população e coleta e tratamento de esgoto a 90% (Lei 11.445/2007, art. 11-B).</t>
  </si>
  <si>
    <t xml:space="preserve">Lei 11.445/2007, art. 11-B</t>
  </si>
  <si>
    <t xml:space="preserve">R226</t>
  </si>
  <si>
    <t xml:space="preserve">Estação de Água › Aula, ponto 3</t>
  </si>
  <si>
    <t xml:space="preserve">O município é o titular do serviço de interesse local; se uma empresa de fora da administração for prestar o serviço, é preciso contrato de concessão precedido de licitação (Lei 11.445/2007, arts. 8º e 10).</t>
  </si>
  <si>
    <t xml:space="preserve">Lei 11.445/2007, arts. 8º e 10</t>
  </si>
  <si>
    <t xml:space="preserve">R227</t>
  </si>
  <si>
    <t xml:space="preserve">Estação de Água › Aula, ponto 4</t>
  </si>
  <si>
    <t xml:space="preserve">A água é bem de domínio público e recurso natural limitado, dotado de valor econômico (Lei 9.433/1997, art. 1º).</t>
  </si>
  <si>
    <t xml:space="preserve">Lei 9.433/1997, art. 1º</t>
  </si>
  <si>
    <t xml:space="preserve">R228</t>
  </si>
  <si>
    <t xml:space="preserve">Estação de Água › Aula, ponto 5</t>
  </si>
  <si>
    <t xml:space="preserve">Concessionárias de serviços essenciais devem prestá-los de forma adequada, eficiente, segura e contínua (CDC, art. 22).</t>
  </si>
  <si>
    <t xml:space="preserve">CDC, art. 22</t>
  </si>
  <si>
    <t xml:space="preserve">R229</t>
  </si>
  <si>
    <t xml:space="preserve">Estação de Água › Aula, na prática</t>
  </si>
  <si>
    <t xml:space="preserve">A água da torneira está saindo turva há dias? O serviço é essencial e deve ser adequado e seguro: o consumidor pode reclamar com base no CDC (art. 22).</t>
  </si>
  <si>
    <t xml:space="preserve">R230</t>
  </si>
  <si>
    <t xml:space="preserve">Estação de Água › Prova, pergunta 1</t>
  </si>
  <si>
    <t xml:space="preserve">Qual a meta do Novo Marco do Saneamento para água potável até 2033? → Resposta: 99% da população. Lei 11.445/2007, art. 11-B (incluído pela Lei 14.026/2020): 99% com água potável e 90% com coleta e tratamento de esgoto até 31/12/2033.</t>
  </si>
  <si>
    <t xml:space="preserve">Lei 11.445/2007, art. 11-B (incluído pela Lei 14.026/2020): 99% com água potável e 90% com coleta e tratamento de esgoto até 31/12/2033.</t>
  </si>
  <si>
    <t xml:space="preserve">R231</t>
  </si>
  <si>
    <t xml:space="preserve">Estação de Água › Prova, pergunta 2</t>
  </si>
  <si>
    <t xml:space="preserve">Quem é o titular do serviço de saneamento de interesse local? → Resposta: O município. Lei 11.445/2007, art. 8º: os municípios e o Distrito Federal são titulares dos serviços públicos de saneamento básico de interesse local.</t>
  </si>
  <si>
    <t xml:space="preserve">Lei 11.445/2007, art. 8º: os municípios e o Distrito Federal são titulares dos serviços públicos de saneamento básico de interesse local.</t>
  </si>
  <si>
    <t xml:space="preserve">R232</t>
  </si>
  <si>
    <t xml:space="preserve">Estação de Água › Prova, pergunta 3</t>
  </si>
  <si>
    <t xml:space="preserve">Drenagem das águas da chuva faz parte do saneamento básico? → Resposta: Sim. Lei 11.445/2007, art. 3º, I, "d": drenagem e manejo das águas pluviais urbanas integram o saneamento básico.</t>
  </si>
  <si>
    <t xml:space="preserve">Lei 11.445/2007, art. 3º, I, "d": drenagem e manejo das águas pluviais urbanas integram o saneamento básico.</t>
  </si>
  <si>
    <t xml:space="preserve">R233</t>
  </si>
  <si>
    <t xml:space="preserve">Estação de Esgoto › Aula</t>
  </si>
  <si>
    <t xml:space="preserve">Saneamento: Esgoto</t>
  </si>
  <si>
    <t xml:space="preserve">Esgoto precisa ser coletado e tratado antes de voltar à natureza — isso protege a saúde e os rios.</t>
  </si>
  <si>
    <t xml:space="preserve">R234</t>
  </si>
  <si>
    <t xml:space="preserve">Estação de Esgoto › Aula, ponto 1</t>
  </si>
  <si>
    <t xml:space="preserve">Esgotamento sanitário é a coleta, o transporte, o tratamento e a destinação final adequada dos esgotos (Lei 11.445/2007, art. 3º, I, "b").</t>
  </si>
  <si>
    <t xml:space="preserve">Lei 11.445/2007, art. 3º, I, "b"</t>
  </si>
  <si>
    <t xml:space="preserve">R235</t>
  </si>
  <si>
    <t xml:space="preserve">Estação de Esgoto › Aula, ponto 2</t>
  </si>
  <si>
    <t xml:space="preserve">Onde houver rede pública de esgoto, toda edificação deve se ligar a ela, e o usuário paga as tarifas do serviço (Lei 11.445/2007, art. 45).</t>
  </si>
  <si>
    <t xml:space="preserve">Lei 11.445/2007, art. 45</t>
  </si>
  <si>
    <t xml:space="preserve">R236</t>
  </si>
  <si>
    <t xml:space="preserve">Estação de Esgoto › Aula, ponto 3</t>
  </si>
  <si>
    <t xml:space="preserve">Enquanto não houver rede, admitem-se soluções individuais, como fossas, seguindo as normas sanitárias e ambientais (art. 45, §1º).</t>
  </si>
  <si>
    <t xml:space="preserve">art. 45, §1º</t>
  </si>
  <si>
    <t xml:space="preserve">R237</t>
  </si>
  <si>
    <t xml:space="preserve">Estação de Esgoto › Aula, ponto 4</t>
  </si>
  <si>
    <t xml:space="preserve">Lançar esgoto sem tratamento em rios pode configurar crime de poluição (Lei 9.605/1998, art. 54).</t>
  </si>
  <si>
    <t xml:space="preserve">Lei 9.605/1998, art. 54</t>
  </si>
  <si>
    <t xml:space="preserve">R238</t>
  </si>
  <si>
    <t xml:space="preserve">Estação de Esgoto › Aula, ponto 5</t>
  </si>
  <si>
    <t xml:space="preserve">Meta do Novo Marco: 90% da população com coleta e tratamento de esgoto até 2033 (art. 11-B).</t>
  </si>
  <si>
    <t xml:space="preserve">art. 11-B</t>
  </si>
  <si>
    <t xml:space="preserve">R239</t>
  </si>
  <si>
    <t xml:space="preserve">Estação de Esgoto › Aula, na prática</t>
  </si>
  <si>
    <t xml:space="preserve">A rede de esgoto chegou à sua rua? A casa deve ser ligada a ela; jogar esgoto no córrego pode ser crime ambiental.</t>
  </si>
  <si>
    <t xml:space="preserve">R240</t>
  </si>
  <si>
    <t xml:space="preserve">Estação de Esgoto › Prova, pergunta 1</t>
  </si>
  <si>
    <t xml:space="preserve">A rede pública de esgoto chegou à rua. O morador pode continuar jogando o esgoto no córrego? → Resposta: Não: deve ligar-se à rede, e poluir o rio pode ser crime. Lei 11.445/2007, art. 45: as edificações devem se conectar à rede pública disponível. Lançar esgoto em rio pode configurar o crime do art. 54 da Lei 9.605/98.</t>
  </si>
  <si>
    <t xml:space="preserve">Lei 11.445/2007, art. 45: as edificações devem se conectar à rede pública disponível. Lançar esgoto em rio pode configurar o crime do art. 54 da Lei 9.605/98.</t>
  </si>
  <si>
    <t xml:space="preserve">R241</t>
  </si>
  <si>
    <t xml:space="preserve">Estação de Esgoto › Prova, pergunta 2</t>
  </si>
  <si>
    <t xml:space="preserve">Qual a meta de coleta e tratamento de esgoto até 2033? → Resposta: 90%. Lei 11.445/2007, art. 11-B: 90% da população com coleta e tratamento de esgoto até 31/12/2033.</t>
  </si>
  <si>
    <t xml:space="preserve">Lei 11.445/2007, art. 11-B: 90% da população com coleta e tratamento de esgoto até 31/12/2033.</t>
  </si>
  <si>
    <t xml:space="preserve">R242</t>
  </si>
  <si>
    <t xml:space="preserve">Estação de Esgoto › Prova, pergunta 3</t>
  </si>
  <si>
    <t xml:space="preserve">Onde ainda não existe rede de esgoto, o que a lei admite? → Resposta: Soluções individuais, como fossas, seguindo as normas. Lei 11.445/2007, art. 45, §1º: na ausência de redes públicas, são admitidas soluções individuais, observadas as normas.</t>
  </si>
  <si>
    <t xml:space="preserve">Lei 11.445/2007, art. 45, §1º: na ausência de redes públicas, são admitidas soluções individuais, observadas as normas.</t>
  </si>
  <si>
    <t xml:space="preserve">R243</t>
  </si>
  <si>
    <t xml:space="preserve">Usina Solar › Aula</t>
  </si>
  <si>
    <t xml:space="preserve">Energia e Geração Distribuída</t>
  </si>
  <si>
    <t xml:space="preserve">Energia elétrica é serviço federal regulado pela ANEEL — mas hoje qualquer consumidor pode gerar a própria energia limpa.</t>
  </si>
  <si>
    <t xml:space="preserve">R244</t>
  </si>
  <si>
    <t xml:space="preserve">Usina Solar › Aula, ponto 1</t>
  </si>
  <si>
    <t xml:space="preserve">Compete à União explorar os serviços de energia elétrica, diretamente ou por concessão, e legislar sobre energia (CF, arts. 21, XII, "b" e 22, IV).</t>
  </si>
  <si>
    <t xml:space="preserve">CF, arts. 21, XII, "b" e 22, IV</t>
  </si>
  <si>
    <t xml:space="preserve">R245</t>
  </si>
  <si>
    <t xml:space="preserve">Usina Solar › Aula, ponto 2</t>
  </si>
  <si>
    <t xml:space="preserve">A ANEEL regula e fiscaliza o setor elétrico (Lei 9.427/1996).</t>
  </si>
  <si>
    <t xml:space="preserve">Lei 9.427/1996</t>
  </si>
  <si>
    <t xml:space="preserve">R246</t>
  </si>
  <si>
    <t xml:space="preserve">Usina Solar › Aula, ponto 3</t>
  </si>
  <si>
    <t xml:space="preserve">O Marco Legal da Geração Distribuída (Lei 14.300/2022) permite gerar a própria energia — como em telhados solares — e transformar o excedente em créditos na conta de luz.</t>
  </si>
  <si>
    <t xml:space="preserve">R247</t>
  </si>
  <si>
    <t xml:space="preserve">Usina Solar › Aula, ponto 4</t>
  </si>
  <si>
    <t xml:space="preserve">Energia é serviço essencial: deve ser prestada de forma adequada e contínua (CDC, art. 22; Lei 8.987/1995, art. 6º).</t>
  </si>
  <si>
    <t xml:space="preserve">CDC, art. 22; Lei 8.987/1995, art. 6º</t>
  </si>
  <si>
    <t xml:space="preserve">R248</t>
  </si>
  <si>
    <t xml:space="preserve">Usina Solar › Aula, ponto 5</t>
  </si>
  <si>
    <t xml:space="preserve">A concessionária responde pelos danos que causar, como aparelhos queimados por oscilação na rede (CF, art. 37, §6º).</t>
  </si>
  <si>
    <t xml:space="preserve">CF, art. 37, §6º</t>
  </si>
  <si>
    <t xml:space="preserve">R249</t>
  </si>
  <si>
    <t xml:space="preserve">Usina Solar › Aula, na prática</t>
  </si>
  <si>
    <t xml:space="preserve">Instalou placas solares e sobrou energia no mês? O excedente vira crédito para abater nas próximas contas (Lei 14.300/2022).</t>
  </si>
  <si>
    <t xml:space="preserve">R250</t>
  </si>
  <si>
    <t xml:space="preserve">Usina Solar › Prova, pergunta 1</t>
  </si>
  <si>
    <t xml:space="preserve">Quem regula e fiscaliza o setor de energia elétrica? → Resposta: A ANEEL. A Agência Nacional de Energia Elétrica foi criada pela Lei 9.427/1996 para regular e fiscalizar o setor.</t>
  </si>
  <si>
    <t xml:space="preserve">A Agência Nacional de Energia Elétrica foi criada pela Lei 9.427/1996 para regular e fiscalizar o setor.</t>
  </si>
  <si>
    <t xml:space="preserve">R251</t>
  </si>
  <si>
    <t xml:space="preserve">Usina Solar › Prova, pergunta 2</t>
  </si>
  <si>
    <t xml:space="preserve">O que acontece com a energia que sobra de um telhado solar? → Resposta: Vira crédito para abater na conta de luz. Pelo Sistema de Compensação de Energia Elétrica (Lei 14.300/2022), a energia injetada na rede gera créditos.</t>
  </si>
  <si>
    <t xml:space="preserve">Pelo Sistema de Compensação de Energia Elétrica (Lei 14.300/2022), a energia injetada na rede gera créditos.</t>
  </si>
  <si>
    <t xml:space="preserve">R252</t>
  </si>
  <si>
    <t xml:space="preserve">Usina Solar › Prova, pergunta 3</t>
  </si>
  <si>
    <t xml:space="preserve">O município pode fazer uma lei fixando o preço da conta de luz? → Resposta: Não: legislar sobre energia é competência da União. CF, art. 22, IV: compete privativamente à União legislar sobre energia. As tarifas são definidas pela ANEEL.</t>
  </si>
  <si>
    <t xml:space="preserve">CF, art. 22, IV: compete privativamente à União legislar sobre energia. As tarifas são definidas pela ANEEL.</t>
  </si>
  <si>
    <t xml:space="preserve">R253</t>
  </si>
  <si>
    <t xml:space="preserve">Iluminação Pública › Aula</t>
  </si>
  <si>
    <t xml:space="preserve">Iluminação Pública</t>
  </si>
  <si>
    <t xml:space="preserve">Os postes de luz das ruas são responsabilidade do município, que pode cobrar uma contribuição para custeá-los.</t>
  </si>
  <si>
    <t xml:space="preserve">R254</t>
  </si>
  <si>
    <t xml:space="preserve">Iluminação Pública › Aula, ponto 1</t>
  </si>
  <si>
    <t xml:space="preserve">A iluminação pública é um serviço de interesse local, a cargo do município (CF, art. 30, V).</t>
  </si>
  <si>
    <t xml:space="preserve">CF, art. 30, V</t>
  </si>
  <si>
    <t xml:space="preserve">R255</t>
  </si>
  <si>
    <t xml:space="preserve">Iluminação Pública › Aula, ponto 2</t>
  </si>
  <si>
    <t xml:space="preserve">Para custeá-la, municípios podem instituir a contribuição de iluminação pública (COSIP ou CIP), que pode ser cobrada na fatura de energia (CF, art. 149-A).</t>
  </si>
  <si>
    <t xml:space="preserve">CF, art. 149-A</t>
  </si>
  <si>
    <t xml:space="preserve">R256</t>
  </si>
  <si>
    <t xml:space="preserve">Iluminação Pública › Aula, ponto 3</t>
  </si>
  <si>
    <t xml:space="preserve">Esse serviço não pode ser cobrado por meio de taxa (Súmula Vinculante 41 do STF), porque beneficia a todos de forma indivisível.</t>
  </si>
  <si>
    <t xml:space="preserve">R257</t>
  </si>
  <si>
    <t xml:space="preserve">Iluminação Pública › Aula, ponto 4</t>
  </si>
  <si>
    <t xml:space="preserve">Ruas bem iluminadas aumentam a segurança de pedestres e motoristas.</t>
  </si>
  <si>
    <t xml:space="preserve">R258</t>
  </si>
  <si>
    <t xml:space="preserve">Iluminação Pública › Aula, na prática</t>
  </si>
  <si>
    <t xml:space="preserve">Viu a "contribuição de iluminação pública" na sua conta de luz? Ela é constitucional (CF, art. 149-A) e paga os postes da cidade.</t>
  </si>
  <si>
    <t xml:space="preserve">R259</t>
  </si>
  <si>
    <t xml:space="preserve">Iluminação Pública › Prova, pergunta 1</t>
  </si>
  <si>
    <t xml:space="preserve">O município pode criar uma "taxa de iluminação pública"? → Resposta: Não: a Súmula Vinculante 41 proíbe; ele pode instituir a contribuição do art. 149-A. Súmula Vinculante 41: o serviço de iluminação pública não pode ser remunerado mediante taxa. A EC 39/2002 criou a contribuição do art. 149-A.</t>
  </si>
  <si>
    <t xml:space="preserve">Súmula Vinculante 41: o serviço de iluminação pública não pode ser remunerado mediante taxa. A EC 39/2002 criou a contribuição do art. 149-A.</t>
  </si>
  <si>
    <t xml:space="preserve">R260</t>
  </si>
  <si>
    <t xml:space="preserve">Iluminação Pública › Prova, pergunta 2</t>
  </si>
  <si>
    <t xml:space="preserve">A contribuição de iluminação pública pode vir na conta de luz? → Resposta: Sim, a Constituição permite. CF, art. 149-A, parágrafo único: é facultada a cobrança da contribuição na fatura de consumo de energia elétrica.</t>
  </si>
  <si>
    <t xml:space="preserve">CF, art. 149-A, parágrafo único: é facultada a cobrança da contribuição na fatura de consumo de energia elétrica.</t>
  </si>
  <si>
    <t xml:space="preserve">R261</t>
  </si>
  <si>
    <t xml:space="preserve">Iluminação Pública › Prova, pergunta 3</t>
  </si>
  <si>
    <t xml:space="preserve">Quem é responsável pelos postes de luz das ruas da cidade? → Resposta: O município. A iluminação pública é serviço de interesse local, de responsabilidade municipal (CF, art. 30, V).</t>
  </si>
  <si>
    <t xml:space="preserve">A iluminação pública é serviço de interesse local, de responsabilidade municipal (CF, art. 30, V).</t>
  </si>
  <si>
    <t xml:space="preserve">R262</t>
  </si>
  <si>
    <t xml:space="preserve">Torre de Telecom › Aula</t>
  </si>
  <si>
    <t xml:space="preserve">Internet e Telecomunicações</t>
  </si>
  <si>
    <t xml:space="preserve">Internet é essencial para a cidadania, e o Marco Civil da Internet garante direitos a quem se conecta.</t>
  </si>
  <si>
    <t xml:space="preserve">R263</t>
  </si>
  <si>
    <t xml:space="preserve">Torre de Telecom › Aula, ponto 1</t>
  </si>
  <si>
    <t xml:space="preserve">O Marco Civil da Internet (Lei 12.965/2014) reconhece o acesso à internet como essencial ao exercício da cidadania (art. 7º).</t>
  </si>
  <si>
    <t xml:space="preserve">R264</t>
  </si>
  <si>
    <t xml:space="preserve">Torre de Telecom › Aula, ponto 2</t>
  </si>
  <si>
    <t xml:space="preserve">Neutralidade de rede: o provedor deve tratar todos os dados de forma isonômica, sem distinção por conteúdo, origem, destino ou aplicativo (art. 9º).</t>
  </si>
  <si>
    <t xml:space="preserve">R265</t>
  </si>
  <si>
    <t xml:space="preserve">Torre de Telecom › Aula, ponto 3</t>
  </si>
  <si>
    <t xml:space="preserve">O usuário tem direito à não suspensão da conexão, salvo por débito decorrente da própria utilização (art. 7º, IV).</t>
  </si>
  <si>
    <t xml:space="preserve">art. 7º, IV</t>
  </si>
  <si>
    <t xml:space="preserve">R266</t>
  </si>
  <si>
    <t xml:space="preserve">Torre de Telecom › Aula, ponto 4</t>
  </si>
  <si>
    <t xml:space="preserve">Provedores de conexão guardam os registros de conexão por 1 ano, em sigilo; a entrega depende de ordem judicial (arts. 10 e 13).</t>
  </si>
  <si>
    <t xml:space="preserve">R267</t>
  </si>
  <si>
    <t xml:space="preserve">Torre de Telecom › Aula, ponto 5</t>
  </si>
  <si>
    <t xml:space="preserve">A Lei Geral das Antenas (Lei 13.116/2015) simplifica o licenciamento de torres e antenas de telecomunicações.</t>
  </si>
  <si>
    <t xml:space="preserve">R268</t>
  </si>
  <si>
    <t xml:space="preserve">Torre de Telecom › Aula, na prática</t>
  </si>
  <si>
    <t xml:space="preserve">A operadora deixou os vídeos de um aplicativo mais lentos que os de outro? Isso viola a neutralidade de rede (art. 9º).</t>
  </si>
  <si>
    <t xml:space="preserve">R269</t>
  </si>
  <si>
    <t xml:space="preserve">Torre de Telecom › Prova, pergunta 1</t>
  </si>
  <si>
    <t xml:space="preserve">O que é neutralidade de rede? → Resposta: Tratar todos os dados de forma igual, sem privilegiar conteúdos ou aplicativos. Marco Civil da Internet, art. 9º: dever de tratamento isonômico dos pacotes de dados.</t>
  </si>
  <si>
    <t xml:space="preserve">Marco Civil da Internet, art. 9º: dever de tratamento isonômico dos pacotes de dados.</t>
  </si>
  <si>
    <t xml:space="preserve">R270</t>
  </si>
  <si>
    <t xml:space="preserve">Torre de Telecom › Prova, pergunta 2</t>
  </si>
  <si>
    <t xml:space="preserve">Por quanto tempo o provedor de conexão guarda os registros de conexão? → Resposta: 1 ano. Lei 12.965/2014, art. 13: registros de conexão mantidos sob sigilo pelo prazo de 1 ano.</t>
  </si>
  <si>
    <t xml:space="preserve">Lei 12.965/2014, art. 13: registros de conexão mantidos sob sigilo pelo prazo de 1 ano.</t>
  </si>
  <si>
    <t xml:space="preserve">R271</t>
  </si>
  <si>
    <t xml:space="preserve">Torre de Telecom › Prova, pergunta 3</t>
  </si>
  <si>
    <t xml:space="preserve">A polícia pode obter os registros de conexão de alguém só pedindo à operadora? → Resposta: Não, em regra depende de ordem judicial. Marco Civil, art. 10, §1º: a disponibilização dos registros só ocorre mediante ordem judicial.</t>
  </si>
  <si>
    <t xml:space="preserve">Marco Civil, art. 10, §1º: a disponibilização dos registros só ocorre mediante ordem judicial.</t>
  </si>
  <si>
    <t xml:space="preserve">R272</t>
  </si>
  <si>
    <t xml:space="preserve">Piscinão › Aula</t>
  </si>
  <si>
    <t xml:space="preserve">Drenagem Urbana</t>
  </si>
  <si>
    <t xml:space="preserve">Cidades cheias de asfalto e concreto alagam quando chove forte: a drenagem urbana é parte do saneamento.</t>
  </si>
  <si>
    <t xml:space="preserve">R273</t>
  </si>
  <si>
    <t xml:space="preserve">Piscinão › Aula, ponto 1</t>
  </si>
  <si>
    <t xml:space="preserve">Drenagem e manejo das águas da chuva fazem parte do saneamento básico (Lei 11.445/2007, art. 3º, I, "d").</t>
  </si>
  <si>
    <t xml:space="preserve">Lei 11.445/2007, art. 3º, I, "d"</t>
  </si>
  <si>
    <t xml:space="preserve">R274</t>
  </si>
  <si>
    <t xml:space="preserve">Piscinão › Aula, ponto 2</t>
  </si>
  <si>
    <t xml:space="preserve">Piscinões (reservatórios de detenção) guardam a água da chuva forte e a liberam devagar, reduzindo enchentes.</t>
  </si>
  <si>
    <t xml:space="preserve">R275</t>
  </si>
  <si>
    <t xml:space="preserve">Piscinão › Aula, ponto 3</t>
  </si>
  <si>
    <t xml:space="preserve">A cobrança pelo serviço de drenagem pode levar em conta a área impermeabilizada de cada lote (Lei 11.445/2007, art. 36).</t>
  </si>
  <si>
    <t xml:space="preserve">Lei 11.445/2007, art. 36</t>
  </si>
  <si>
    <t xml:space="preserve">R276</t>
  </si>
  <si>
    <t xml:space="preserve">Piscinão › Aula, ponto 4</t>
  </si>
  <si>
    <t xml:space="preserve">Preservar as margens dos rios (APP) também evita enchentes; o Código Florestal protege essas faixas (Lei 12.651/2012, art. 4º).</t>
  </si>
  <si>
    <t xml:space="preserve">Lei 12.651/2012, art. 4º</t>
  </si>
  <si>
    <t xml:space="preserve">R277</t>
  </si>
  <si>
    <t xml:space="preserve">Piscinão › Aula, ponto 5</t>
  </si>
  <si>
    <t xml:space="preserve">O município deve mapear áreas de risco e ter planos de contingência para chuvas fortes (Lei 12.608/2012, art. 8º).</t>
  </si>
  <si>
    <t xml:space="preserve">R278</t>
  </si>
  <si>
    <t xml:space="preserve">Piscinão › Aula, na prática</t>
  </si>
  <si>
    <t xml:space="preserve">O shopping concretou todo o terreno e a água corre toda para a rua? A cobrança da drenagem pode ser maior para quem impermeabiliza mais (art. 36).</t>
  </si>
  <si>
    <t xml:space="preserve">R279</t>
  </si>
  <si>
    <t xml:space="preserve">Piscinão › Prova, pergunta 1</t>
  </si>
  <si>
    <t xml:space="preserve">A drenagem das águas da chuva faz parte do saneamento básico? → Resposta: Sim. Lei 11.445/2007, art. 3º, I, "d".</t>
  </si>
  <si>
    <t xml:space="preserve">Lei 11.445/2007, art. 3º, I, "d".</t>
  </si>
  <si>
    <t xml:space="preserve">R280</t>
  </si>
  <si>
    <t xml:space="preserve">Piscinão › Prova, pergunta 2</t>
  </si>
  <si>
    <t xml:space="preserve">Para que serve um piscinão? → Resposta: Para guardar a água da chuva forte e evitar enchentes. Reservatórios de detenção amortecem o pico das chuvas, liberando a água aos poucos para rios e galerias.</t>
  </si>
  <si>
    <t xml:space="preserve">Reservatórios de detenção amortecem o pico das chuvas, liberando a água aos poucos para rios e galerias.</t>
  </si>
  <si>
    <t xml:space="preserve">R281</t>
  </si>
  <si>
    <t xml:space="preserve">Piscinão › Prova, pergunta 3</t>
  </si>
  <si>
    <t xml:space="preserve">A cobrança pela drenagem pode considerar o quê? → Resposta: O percentual de área impermeabilizada do lote. Lei 11.445/2007, art. 36: a cobrança deve levar em conta, em cada lote urbano, o percentual de área impermeabilizada.</t>
  </si>
  <si>
    <t xml:space="preserve">Lei 11.445/2007, art. 36: a cobrança deve levar em conta, em cada lote urbano, o percentual de área impermeabilizada.</t>
  </si>
  <si>
    <t xml:space="preserve">R282</t>
  </si>
  <si>
    <t xml:space="preserve">Rotatória › Aula</t>
  </si>
  <si>
    <t xml:space="preserve">Trânsito: preferência de passagem</t>
  </si>
  <si>
    <t xml:space="preserve">Na rotatória, quem já está circulando tem a preferência; quem chega espera.</t>
  </si>
  <si>
    <t xml:space="preserve">R283</t>
  </si>
  <si>
    <t xml:space="preserve">Rotatória › Aula, ponto 1</t>
  </si>
  <si>
    <t xml:space="preserve">Na rotatória, a preferência é de quem já está circulando por ela (CTB, art. 29, III, "b").</t>
  </si>
  <si>
    <t xml:space="preserve">CTB, art. 29, III, "b"</t>
  </si>
  <si>
    <t xml:space="preserve">R284</t>
  </si>
  <si>
    <t xml:space="preserve">Rotatória › Aula, ponto 2</t>
  </si>
  <si>
    <t xml:space="preserve">Em cruzamento sem sinalização, a preferência é de quem vem pela direita (CTB, art. 29, III, "c").</t>
  </si>
  <si>
    <t xml:space="preserve">CTB, art. 29, III, "c"</t>
  </si>
  <si>
    <t xml:space="preserve">R285</t>
  </si>
  <si>
    <t xml:space="preserve">Rotatória › Aula, ponto 3</t>
  </si>
  <si>
    <t xml:space="preserve">Antes de mudar de faixa ou sair da rotatória, o motorista deve ligar a seta com antecedência (CTB, art. 35).</t>
  </si>
  <si>
    <t xml:space="preserve">CTB, art. 35</t>
  </si>
  <si>
    <t xml:space="preserve">R286</t>
  </si>
  <si>
    <t xml:space="preserve">Rotatória › Aula, ponto 4</t>
  </si>
  <si>
    <t xml:space="preserve">Deixar de dar preferência a quem circula na rotatória é infração grave (CTB, art. 215, I, "a").</t>
  </si>
  <si>
    <t xml:space="preserve">CTB, art. 215, I, "a"</t>
  </si>
  <si>
    <t xml:space="preserve">R287</t>
  </si>
  <si>
    <t xml:space="preserve">Rotatória › Aula, na prática</t>
  </si>
  <si>
    <t xml:space="preserve">Chegou à rotatória e vem um carro circulando pela esquerda? Espere ele passar: a preferência é de quem já está na rotatória.</t>
  </si>
  <si>
    <t xml:space="preserve">R288</t>
  </si>
  <si>
    <t xml:space="preserve">Rotatória › Prova, pergunta 1</t>
  </si>
  <si>
    <t xml:space="preserve">Quem tem preferência numa rotatória? → Resposta: Quem já está circulando nela. CTB, art. 29, III, "b".</t>
  </si>
  <si>
    <t xml:space="preserve">CTB, art. 29, III, "b".</t>
  </si>
  <si>
    <t xml:space="preserve">R289</t>
  </si>
  <si>
    <t xml:space="preserve">Rotatória › Prova, pergunta 2</t>
  </si>
  <si>
    <t xml:space="preserve">Em cruzamento sem sinalização, quem tem preferência? → Resposta: Quem vem pela direita. CTB, art. 29, III, "c".</t>
  </si>
  <si>
    <t xml:space="preserve">CTB, art. 29, III, "c".</t>
  </si>
  <si>
    <t xml:space="preserve">R290</t>
  </si>
  <si>
    <t xml:space="preserve">Rotatória › Prova, pergunta 3</t>
  </si>
  <si>
    <t xml:space="preserve">Antes de sair da rotatória, o motorista deve: → Resposta: Ligar a seta, indicando a manobra. CTB, art. 35: toda manobra de deslocamento lateral deve ser indicada com antecedência pela seta.</t>
  </si>
  <si>
    <t xml:space="preserve">CTB, art. 35: toda manobra de deslocamento lateral deve ser indicada com antecedência pela seta.</t>
  </si>
  <si>
    <t xml:space="preserve">R291</t>
  </si>
  <si>
    <t xml:space="preserve">Retorno permitido › Aula</t>
  </si>
  <si>
    <t xml:space="preserve">Trânsito: retornos</t>
  </si>
  <si>
    <t xml:space="preserve">Retornar só onde é permitido e seguro: a lei proíbe o retorno em pontes, curvas, cruzamentos e onde há placa proibindo.</t>
  </si>
  <si>
    <t xml:space="preserve">R292</t>
  </si>
  <si>
    <t xml:space="preserve">Retorno permitido › Aula, ponto 1</t>
  </si>
  <si>
    <t xml:space="preserve">Nas cidades, o retorno deve ser feito nos locais indicados pela sinalização ou em locais apropriados, com segurança e fluidez (CTB, art. 39).</t>
  </si>
  <si>
    <t xml:space="preserve">CTB, art. 39</t>
  </si>
  <si>
    <t xml:space="preserve">R293</t>
  </si>
  <si>
    <t xml:space="preserve">Retorno permitido › Aula, ponto 2</t>
  </si>
  <si>
    <t xml:space="preserve">É infração gravíssima retornar onde a sinalização proíbe, ou em curvas, aclives, declives, pontes, viadutos e túneis (CTB, art. 206, I e II).</t>
  </si>
  <si>
    <t xml:space="preserve">CTB, art. 206, I e II</t>
  </si>
  <si>
    <t xml:space="preserve">R294</t>
  </si>
  <si>
    <t xml:space="preserve">Retorno permitido › Aula, ponto 3</t>
  </si>
  <si>
    <t xml:space="preserve">Também é gravíssimo retornar passando por cima da calçada ou do canteiro central, ou entrando na contramão num cruzamento (CTB, art. 206, III e IV).</t>
  </si>
  <si>
    <t xml:space="preserve">CTB, art. 206, III e IV</t>
  </si>
  <si>
    <t xml:space="preserve">R295</t>
  </si>
  <si>
    <t xml:space="preserve">Retorno permitido › Aula, ponto 4</t>
  </si>
  <si>
    <t xml:space="preserve">A placa R-5a, com a seta em U cortada por uma faixa vermelha, significa "proibido retornar à esquerda".</t>
  </si>
  <si>
    <t xml:space="preserve">R296</t>
  </si>
  <si>
    <t xml:space="preserve">Retorno permitido › Aula, ponto 5</t>
  </si>
  <si>
    <t xml:space="preserve">Na conversão à esquerda, o motorista se aproxima do eixo da via e cede passagem aos pedestres, aos ciclistas e aos veículos que vêm em sentido contrário (CTB, art. 38, II e parágrafo único).</t>
  </si>
  <si>
    <t xml:space="preserve">CTB, art. 38, II e parágrafo único</t>
  </si>
  <si>
    <t xml:space="preserve">R297</t>
  </si>
  <si>
    <t xml:space="preserve">Retorno permitido › Aula, na prática</t>
  </si>
  <si>
    <t xml:space="preserve">Perdeu a entrada e pensou em dar meia-volta no meio da ponte? Não pode: siga até um retorno sinalizado ou uma rotatória.</t>
  </si>
  <si>
    <t xml:space="preserve">R298</t>
  </si>
  <si>
    <t xml:space="preserve">Retorno permitido › Prova, pergunta 1</t>
  </si>
  <si>
    <t xml:space="preserve">Retornar em cima de uma ponte é: → Resposta: Infração gravíssima. CTB, art. 206, II.</t>
  </si>
  <si>
    <t xml:space="preserve">CTB, art. 206, II.</t>
  </si>
  <si>
    <t xml:space="preserve">R299</t>
  </si>
  <si>
    <t xml:space="preserve">Retorno permitido › Prova, pergunta 2</t>
  </si>
  <si>
    <t xml:space="preserve">Onde o retorno deve ser feito na cidade? → Resposta: Nos locais sinalizados ou apropriados, com segurança. CTB, art. 39.</t>
  </si>
  <si>
    <t xml:space="preserve">CTB, art. 39.</t>
  </si>
  <si>
    <t xml:space="preserve">R300</t>
  </si>
  <si>
    <t xml:space="preserve">Retorno permitido › Prova, pergunta 3</t>
  </si>
  <si>
    <t xml:space="preserve">O que significa a placa com a seta em U cortada em vermelho? → Resposta: Proibido retornar. É a placa de regulamentação R-5a: proibido retornar à esquerda.</t>
  </si>
  <si>
    <t xml:space="preserve">É a placa de regulamentação R-5a: proibido retornar à esquerda.</t>
  </si>
  <si>
    <t xml:space="preserve">R301</t>
  </si>
  <si>
    <t xml:space="preserve">Zona Azul (vagas na rua) › Aula</t>
  </si>
  <si>
    <t xml:space="preserve">Trânsito: estacionamento</t>
  </si>
  <si>
    <t xml:space="preserve">O estacionamento rotativo (Zona Azul) faz as vagas girarem: cada carro fica um tempo limitado, e mais gente consegue parar.</t>
  </si>
  <si>
    <t xml:space="preserve">R302</t>
  </si>
  <si>
    <t xml:space="preserve">Zona Azul (vagas na rua) › Aula, ponto 1</t>
  </si>
  <si>
    <t xml:space="preserve">Cabe ao Município implantar, manter e operar o estacionamento rotativo pago nas vias (CTB, art. 24, X).</t>
  </si>
  <si>
    <t xml:space="preserve">CTB, art. 24, X</t>
  </si>
  <si>
    <t xml:space="preserve">R303</t>
  </si>
  <si>
    <t xml:space="preserve">Zona Azul (vagas na rua) › Aula, ponto 2</t>
  </si>
  <si>
    <t xml:space="preserve">Estacionar em desacordo com as regras da vaga, como passar do tempo pago, é infração grave (CTB, art. 181, XVII).</t>
  </si>
  <si>
    <t xml:space="preserve">CTB, art. 181, XVII</t>
  </si>
  <si>
    <t xml:space="preserve">R304</t>
  </si>
  <si>
    <t xml:space="preserve">Zona Azul (vagas na rua) › Aula, ponto 3</t>
  </si>
  <si>
    <t xml:space="preserve">É proibido estacionar a menos de 5 metros da esquina (CTB, art. 181, I) e em pontes, viadutos e túneis (CTB, art. 181, XIV).</t>
  </si>
  <si>
    <t xml:space="preserve">CTB, art. 181, XIV</t>
  </si>
  <si>
    <t xml:space="preserve">R305</t>
  </si>
  <si>
    <t xml:space="preserve">Zona Azul (vagas na rua) › Aula, ponto 4</t>
  </si>
  <si>
    <t xml:space="preserve">Estacionar na calçada ou sobre a faixa de pedestres também é infração (CTB, art. 181, VIII).</t>
  </si>
  <si>
    <t xml:space="preserve">CTB, art. 181, VIII</t>
  </si>
  <si>
    <t xml:space="preserve">R306</t>
  </si>
  <si>
    <t xml:space="preserve">Zona Azul (vagas na rua) › Aula, na prática</t>
  </si>
  <si>
    <t xml:space="preserve">Pagou uma hora de Zona Azul e ficou três? Pode ser multado: o tempo de permanência faz parte da regra da vaga.</t>
  </si>
  <si>
    <t xml:space="preserve">R307</t>
  </si>
  <si>
    <t xml:space="preserve">Zona Azul (vagas na rua) › Prova, pergunta 1</t>
  </si>
  <si>
    <t xml:space="preserve">Quem implanta o estacionamento rotativo pago nas ruas? → Resposta: O Município. CTB, art. 24, X.</t>
  </si>
  <si>
    <t xml:space="preserve">CTB, art. 24, X.</t>
  </si>
  <si>
    <t xml:space="preserve">R308</t>
  </si>
  <si>
    <t xml:space="preserve">Zona Azul (vagas na rua) › Prova, pergunta 2</t>
  </si>
  <si>
    <t xml:space="preserve">Pode estacionar colado na esquina? → Resposta: Não, é preciso ficar a pelo menos 5 metros. CTB, art. 181, I.</t>
  </si>
  <si>
    <t xml:space="preserve">CTB, art. 181, I.</t>
  </si>
  <si>
    <t xml:space="preserve">R309</t>
  </si>
  <si>
    <t xml:space="preserve">Zona Azul (vagas na rua) › Prova, pergunta 3</t>
  </si>
  <si>
    <t xml:space="preserve">Estacionar em cima de uma ponte é: → Resposta: Infração de trânsito. CTB, art. 181, XIV: nos viadutos, pontes e túneis.</t>
  </si>
  <si>
    <t xml:space="preserve">CTB, art. 181, XIV: nos viadutos, pontes e túneis.</t>
  </si>
  <si>
    <t xml:space="preserve">R310</t>
  </si>
  <si>
    <t xml:space="preserve">Vaga para pessoa com deficiência › Aula</t>
  </si>
  <si>
    <t xml:space="preserve">Acessibilidade no trânsito</t>
  </si>
  <si>
    <t xml:space="preserve">Vagas reservadas garantem acesso a quem tem mais dificuldade de locomoção: usar sem credencial é infração gravíssima.</t>
  </si>
  <si>
    <t xml:space="preserve">R311</t>
  </si>
  <si>
    <t xml:space="preserve">Vaga para pessoa com deficiência › Aula, ponto 1</t>
  </si>
  <si>
    <t xml:space="preserve">Em estacionamentos de uso público, 2% das vagas são reservadas a veículos que transportem pessoa com deficiência, com no mínimo uma vaga (Lei 13.146/2015, art. 47).</t>
  </si>
  <si>
    <t xml:space="preserve">Lei 13.146/2015, art. 47</t>
  </si>
  <si>
    <t xml:space="preserve">R312</t>
  </si>
  <si>
    <t xml:space="preserve">Vaga para pessoa com deficiência › Aula, ponto 2</t>
  </si>
  <si>
    <t xml:space="preserve">Para idosos, a reserva é de 5% das vagas (Estatuto da Pessoa Idosa, Lei 10.741/2003, art. 41).</t>
  </si>
  <si>
    <t xml:space="preserve">Estatuto da Pessoa Idosa, Lei 10.741/2003, art. 41</t>
  </si>
  <si>
    <t xml:space="preserve">R313</t>
  </si>
  <si>
    <t xml:space="preserve">Vaga para pessoa com deficiência › Aula, ponto 3</t>
  </si>
  <si>
    <t xml:space="preserve">Para usar a vaga, o veículo precisa exibir a credencial emitida pelo órgão de trânsito do Município (Lei 13.146/2015, art. 47, §2º).</t>
  </si>
  <si>
    <t xml:space="preserve">Lei 13.146/2015, art. 47, §2º</t>
  </si>
  <si>
    <t xml:space="preserve">R314</t>
  </si>
  <si>
    <t xml:space="preserve">Vaga para pessoa com deficiência › Aula, ponto 4</t>
  </si>
  <si>
    <t xml:space="preserve">Estacionar em vaga reservada sem credencial é infração gravíssima, com remoção do veículo (CTB, art. 181, XX).</t>
  </si>
  <si>
    <t xml:space="preserve">CTB, art. 181, XX</t>
  </si>
  <si>
    <t xml:space="preserve">R315</t>
  </si>
  <si>
    <t xml:space="preserve">Vaga para pessoa com deficiência › Aula, na prática</t>
  </si>
  <si>
    <t xml:space="preserve">Parou na vaga de pessoa com deficiência "só por cinco minutinhos"? É infração gravíssima, e o carro pode ser guinchado.</t>
  </si>
  <si>
    <t xml:space="preserve">R316</t>
  </si>
  <si>
    <t xml:space="preserve">Vaga para pessoa com deficiência › Prova, pergunta 1</t>
  </si>
  <si>
    <t xml:space="preserve">Que parte das vagas é reservada a pessoas com deficiência? → Resposta: 2%, com no mínimo uma vaga. Lei 13.146/2015, art. 47.</t>
  </si>
  <si>
    <t xml:space="preserve">Lei 13.146/2015, art. 47.</t>
  </si>
  <si>
    <t xml:space="preserve">R317</t>
  </si>
  <si>
    <t xml:space="preserve">Vaga para pessoa com deficiência › Prova, pergunta 2</t>
  </si>
  <si>
    <t xml:space="preserve">O que é preciso para usar a vaga reservada? → Resposta: Credencial do órgão de trânsito à vista no carro. Lei 13.146/2015, art. 47, §2º.</t>
  </si>
  <si>
    <t xml:space="preserve">Lei 13.146/2015, art. 47, §2º.</t>
  </si>
  <si>
    <t xml:space="preserve">R318</t>
  </si>
  <si>
    <t xml:space="preserve">Vaga para pessoa com deficiência › Prova, pergunta 3</t>
  </si>
  <si>
    <t xml:space="preserve">Estacionar na vaga reservada sem credencial é: → Resposta: Infração gravíssima. CTB, art. 181, XX.</t>
  </si>
  <si>
    <t xml:space="preserve">CTB, art. 181, XX.</t>
  </si>
  <si>
    <t xml:space="preserve">R319</t>
  </si>
  <si>
    <t xml:space="preserve">Vaga para idoso › Descrição</t>
  </si>
  <si>
    <t xml:space="preserve">Sinalização</t>
  </si>
  <si>
    <t xml:space="preserve">Descrição</t>
  </si>
  <si>
    <t xml:space="preserve">Vaga reservada a idosos com credencial: 5% das vagas (Estatuto da Pessoa Idosa, art. 41). Usar sem credencial é infração gravíssima (CTB, art. 181, XX).</t>
  </si>
  <si>
    <t xml:space="preserve">R320</t>
  </si>
  <si>
    <t xml:space="preserve">Placa "Proibido estacionar" › Aula</t>
  </si>
  <si>
    <t xml:space="preserve">Trânsito: parada e estacionamento</t>
  </si>
  <si>
    <t xml:space="preserve">Parar e estacionar são coisas diferentes, e cada placa diz o que é permitido.</t>
  </si>
  <si>
    <t xml:space="preserve">R321</t>
  </si>
  <si>
    <t xml:space="preserve">Placa "Proibido estacionar" › Aula, ponto 1</t>
  </si>
  <si>
    <t xml:space="preserve">Parada é ficar parado só o tempo de embarcar ou desembarcar passageiros; estacionamento é ficar parado por mais tempo que isso (CTB, Anexo I).</t>
  </si>
  <si>
    <t xml:space="preserve">CTB, Anexo I</t>
  </si>
  <si>
    <t xml:space="preserve">R322</t>
  </si>
  <si>
    <t xml:space="preserve">Placa "Proibido estacionar" › Aula, ponto 2</t>
  </si>
  <si>
    <t xml:space="preserve">A placa R-6a, "Proibido estacionar", deixa parar para embarque e desembarque, mas não estacionar. Desobedecer é infração média (CTB, art. 181, XVIII).</t>
  </si>
  <si>
    <t xml:space="preserve">CTB, art. 181, XVIII</t>
  </si>
  <si>
    <t xml:space="preserve">R323</t>
  </si>
  <si>
    <t xml:space="preserve">Placa "Proibido estacionar" › Aula, ponto 3</t>
  </si>
  <si>
    <t xml:space="preserve">A placa R-6c, "Proibido parar e estacionar", não permite nem a parada rápida. Estacionar ali é infração grave (CTB, art. 181, XIX).</t>
  </si>
  <si>
    <t xml:space="preserve">CTB, art. 181, XIX</t>
  </si>
  <si>
    <t xml:space="preserve">R324</t>
  </si>
  <si>
    <t xml:space="preserve">Placa "Proibido estacionar" › Aula, ponto 4</t>
  </si>
  <si>
    <t xml:space="preserve">A pintura amarela junto ao meio-fio reforça a proibição.</t>
  </si>
  <si>
    <t xml:space="preserve">R325</t>
  </si>
  <si>
    <t xml:space="preserve">Placa "Proibido estacionar" › Aula, na prática</t>
  </si>
  <si>
    <t xml:space="preserve">Dá para deixar um passageiro em frente à escola onde há placa "Proibido estacionar"? Sim, a parada rápida pode. Onde a placa é "Proibido parar e estacionar", não.</t>
  </si>
  <si>
    <t xml:space="preserve">R326</t>
  </si>
  <si>
    <t xml:space="preserve">Placa "Proibido estacionar" › Prova, pergunta 1</t>
  </si>
  <si>
    <t xml:space="preserve">Qual a diferença entre parar e estacionar? → Resposta: Parar é só para embarque e desembarque; estacionar é ficar mais tempo. CTB, Anexo I (conceitos de parada e estacionamento).</t>
  </si>
  <si>
    <t xml:space="preserve">CTB, Anexo I (conceitos de parada e estacionamento).</t>
  </si>
  <si>
    <t xml:space="preserve">R327</t>
  </si>
  <si>
    <t xml:space="preserve">Placa "Proibido estacionar" › Prova, pergunta 2</t>
  </si>
  <si>
    <t xml:space="preserve">Com a placa "Proibido estacionar", pode parar para alguém descer? → Resposta: Sim, a parada rápida é permitida. A R-6a proíbe estacionar, não a parada para embarque e desembarque.</t>
  </si>
  <si>
    <t xml:space="preserve">A R-6a proíbe estacionar, não a parada para embarque e desembarque.</t>
  </si>
  <si>
    <t xml:space="preserve">R328</t>
  </si>
  <si>
    <t xml:space="preserve">Placa "Proibido estacionar" › Prova, pergunta 3</t>
  </si>
  <si>
    <t xml:space="preserve">O que a placa "Proibido parar e estacionar" proíbe? → Resposta: Parar e estacionar. Placa R-6c; estacionar ali é infração grave (CTB, art. 181, XIX).</t>
  </si>
  <si>
    <t xml:space="preserve">Placa R-6c; estacionar ali é infração grave (CTB, art. 181, XIX).</t>
  </si>
  <si>
    <t xml:space="preserve">R329</t>
  </si>
  <si>
    <t xml:space="preserve">Placa "Proibido parar e estacionar" › Descrição</t>
  </si>
  <si>
    <t xml:space="preserve">Placa R-6c: no trecho não se pode nem parar rapidinho. Estacionar ali é infração grave (CTB, art. 181, XIX).</t>
  </si>
  <si>
    <t xml:space="preserve">R330</t>
  </si>
  <si>
    <t xml:space="preserve">Faixa de pedestres › Aula</t>
  </si>
  <si>
    <t xml:space="preserve">Trânsito: pedestres</t>
  </si>
  <si>
    <t xml:space="preserve">Na faixa, o pedestre tem preferência: o motorista deve parar e esperar a travessia.</t>
  </si>
  <si>
    <t xml:space="preserve">R331</t>
  </si>
  <si>
    <t xml:space="preserve">Faixa de pedestres › Aula, ponto 1</t>
  </si>
  <si>
    <t xml:space="preserve">Onde há faixa de pedestres sem semáforo, quem está atravessando tem preferência, e o motorista deve parar (CTB, art. 70).</t>
  </si>
  <si>
    <t xml:space="preserve">R332</t>
  </si>
  <si>
    <t xml:space="preserve">Faixa de pedestres › Aula, ponto 2</t>
  </si>
  <si>
    <t xml:space="preserve">Deixar de dar preferência ao pedestre na faixa é infração gravíssima (CTB, art. 214, I).</t>
  </si>
  <si>
    <t xml:space="preserve">CTB, art. 214, I</t>
  </si>
  <si>
    <t xml:space="preserve">R333</t>
  </si>
  <si>
    <t xml:space="preserve">Faixa de pedestres › Aula, ponto 3</t>
  </si>
  <si>
    <t xml:space="preserve">O pedestre também tem deveres: deve atravessar na faixa quando houver uma a até 50 metros (CTB, art. 69).</t>
  </si>
  <si>
    <t xml:space="preserve">CTB, art. 69</t>
  </si>
  <si>
    <t xml:space="preserve">R334</t>
  </si>
  <si>
    <t xml:space="preserve">Faixa de pedestres › Aula, ponto 4</t>
  </si>
  <si>
    <t xml:space="preserve">Estacionar sobre a faixa de pedestres é infração (CTB, art. 181, VIII).</t>
  </si>
  <si>
    <t xml:space="preserve">R335</t>
  </si>
  <si>
    <t xml:space="preserve">Faixa de pedestres › Aula, na prática</t>
  </si>
  <si>
    <t xml:space="preserve">Uma senhora já começou a atravessar na faixa e não há semáforo? Pare e espere: a preferência é dela.</t>
  </si>
  <si>
    <t xml:space="preserve">R336</t>
  </si>
  <si>
    <t xml:space="preserve">Faixa de pedestres › Prova, pergunta 1</t>
  </si>
  <si>
    <t xml:space="preserve">Na faixa sem semáforo, quem tem preferência? → Resposta: O pedestre. CTB, art. 70.</t>
  </si>
  <si>
    <t xml:space="preserve">CTB, art. 70.</t>
  </si>
  <si>
    <t xml:space="preserve">R337</t>
  </si>
  <si>
    <t xml:space="preserve">Faixa de pedestres › Prova, pergunta 2</t>
  </si>
  <si>
    <t xml:space="preserve">Deixar de parar para o pedestre na faixa é: → Resposta: Infração gravíssima. CTB, art. 214, I.</t>
  </si>
  <si>
    <t xml:space="preserve">CTB, art. 214, I.</t>
  </si>
  <si>
    <t xml:space="preserve">R338</t>
  </si>
  <si>
    <t xml:space="preserve">Faixa de pedestres › Prova, pergunta 3</t>
  </si>
  <si>
    <t xml:space="preserve">Havendo faixa a até 50 metros, o pedestre deve: → Resposta: Usar a faixa. CTB, art. 69.</t>
  </si>
  <si>
    <t xml:space="preserve">CTB, art. 69.</t>
  </si>
  <si>
    <t xml:space="preserve">R339</t>
  </si>
  <si>
    <t xml:space="preserve">Radar de velocidade › Aula</t>
  </si>
  <si>
    <t xml:space="preserve">Trânsito: velocidade</t>
  </si>
  <si>
    <t xml:space="preserve">Os limites de velocidade protegem vidas; o radar fiscaliza, e a infração cresce com o excesso.</t>
  </si>
  <si>
    <t xml:space="preserve">R340</t>
  </si>
  <si>
    <t xml:space="preserve">Radar de velocidade › Aula, ponto 1</t>
  </si>
  <si>
    <t xml:space="preserve">Sem placa, a velocidade máxima nas cidades é de 80 km/h nas vias de trânsito rápido, 60 nas arteriais, 40 nas coletoras e 30 nas locais (CTB, art. 61, §1º, I).</t>
  </si>
  <si>
    <t xml:space="preserve">CTB, art. 61, §1º, I</t>
  </si>
  <si>
    <t xml:space="preserve">R341</t>
  </si>
  <si>
    <t xml:space="preserve">Radar de velocidade › Aula, ponto 2</t>
  </si>
  <si>
    <t xml:space="preserve">Passar até 20% do limite é infração média; de 20% a 50%, grave; mais de 50%, gravíssima, com suspensão do direito de dirigir (CTB, art. 218).</t>
  </si>
  <si>
    <t xml:space="preserve">CTB, art. 218</t>
  </si>
  <si>
    <t xml:space="preserve">R342</t>
  </si>
  <si>
    <t xml:space="preserve">Radar de velocidade › Aula, ponto 3</t>
  </si>
  <si>
    <t xml:space="preserve">O trecho com radar deve ter placa indicando a velocidade máxima permitida (Resolução Contran 798/2020).</t>
  </si>
  <si>
    <t xml:space="preserve">Resolução Contran 798/2020</t>
  </si>
  <si>
    <t xml:space="preserve">Resolução do Contran: conferir vigência e número atual.</t>
  </si>
  <si>
    <t xml:space="preserve">R343</t>
  </si>
  <si>
    <t xml:space="preserve">Radar de velocidade › Aula, na prática</t>
  </si>
  <si>
    <t xml:space="preserve">A placa marca 60 km/h e o carro passou a 75? O excesso foi de 25%: infração grave.</t>
  </si>
  <si>
    <t xml:space="preserve">R344</t>
  </si>
  <si>
    <t xml:space="preserve">Radar de velocidade › Prova, pergunta 1</t>
  </si>
  <si>
    <t xml:space="preserve">Sem placa, qual é o limite numa avenida arterial? → Resposta: 60 km/h. CTB, art. 61, §1º, I, "b".</t>
  </si>
  <si>
    <t xml:space="preserve">CTB, art. 61, §1º, I, "b".</t>
  </si>
  <si>
    <t xml:space="preserve">R345</t>
  </si>
  <si>
    <t xml:space="preserve">Radar de velocidade › Prova, pergunta 2</t>
  </si>
  <si>
    <t xml:space="preserve">Passar mais de 50% do limite é infração: → Resposta: Gravíssima, com suspensão do direito de dirigir. CTB, art. 218, III.</t>
  </si>
  <si>
    <t xml:space="preserve">CTB, art. 218, III.</t>
  </si>
  <si>
    <t xml:space="preserve">R346</t>
  </si>
  <si>
    <t xml:space="preserve">Radar de velocidade › Prova, pergunta 3</t>
  </si>
  <si>
    <t xml:space="preserve">O que o trecho com radar precisa ter? → Resposta: Placa indicando a velocidade máxima. Resolução Contran 798/2020.</t>
  </si>
  <si>
    <t xml:space="preserve">Resolução Contran 798/2020.</t>
  </si>
  <si>
    <t xml:space="preserve">R347</t>
  </si>
  <si>
    <t xml:space="preserve">Ciclofaixa › Aula</t>
  </si>
  <si>
    <t xml:space="preserve">Mobilidade: bicicletas</t>
  </si>
  <si>
    <t xml:space="preserve">A bicicleta é um veículo: tem direitos e deveres no trânsito, e a cidade deve dar a ela um espaço seguro.</t>
  </si>
  <si>
    <t xml:space="preserve">R348</t>
  </si>
  <si>
    <t xml:space="preserve">Ciclofaixa › Aula, ponto 1</t>
  </si>
  <si>
    <t xml:space="preserve">Onde não há ciclovia ou ciclofaixa, a bicicleta anda no bordo da pista, no mesmo sentido dos carros, e tem preferência sobre os veículos motorizados (CTB, art. 58).</t>
  </si>
  <si>
    <t xml:space="preserve">CTB, art. 58</t>
  </si>
  <si>
    <t xml:space="preserve">R349</t>
  </si>
  <si>
    <t xml:space="preserve">Ciclofaixa › Aula, ponto 2</t>
  </si>
  <si>
    <t xml:space="preserve">Ao ultrapassar uma bicicleta, o motorista deve manter 1,5 metro de distância lateral; não manter é infração (CTB, art. 201).</t>
  </si>
  <si>
    <t xml:space="preserve">CTB, art. 201</t>
  </si>
  <si>
    <t xml:space="preserve">R350</t>
  </si>
  <si>
    <t xml:space="preserve">Ciclofaixa › Aula, ponto 3</t>
  </si>
  <si>
    <t xml:space="preserve">Andar de bicicleta na calçada só é permitido onde houver sinalização autorizando (CTB, art. 59).</t>
  </si>
  <si>
    <t xml:space="preserve">CTB, art. 59</t>
  </si>
  <si>
    <t xml:space="preserve">R351</t>
  </si>
  <si>
    <t xml:space="preserve">Ciclofaixa › Aula, ponto 4</t>
  </si>
  <si>
    <t xml:space="preserve">A Política Nacional de Mobilidade Urbana dá prioridade a quem anda a pé ou de bicicleta (Lei 12.587/2012, art. 6º, II).</t>
  </si>
  <si>
    <t xml:space="preserve">Lei 12.587/2012, art. 6º, II</t>
  </si>
  <si>
    <t xml:space="preserve">R352</t>
  </si>
  <si>
    <t xml:space="preserve">Ciclofaixa › Aula, na prática</t>
  </si>
  <si>
    <t xml:space="preserve">Vai ultrapassar um ciclista na avenida? Espere a outra faixa liberar e passe a pelo menos 1,5 metro dele.</t>
  </si>
  <si>
    <t xml:space="preserve">R353</t>
  </si>
  <si>
    <t xml:space="preserve">Ciclofaixa › Prova, pergunta 1</t>
  </si>
  <si>
    <t xml:space="preserve">Qual distância lateral o motorista deve manter ao ultrapassar uma bicicleta? → Resposta: 1,5 metro. CTB, art. 201.</t>
  </si>
  <si>
    <t xml:space="preserve">CTB, art. 201.</t>
  </si>
  <si>
    <t xml:space="preserve">R354</t>
  </si>
  <si>
    <t xml:space="preserve">Ciclofaixa › Prova, pergunta 2</t>
  </si>
  <si>
    <t xml:space="preserve">Pode andar de bicicleta na calçada? → Resposta: Só onde houver sinalização autorizando. CTB, art. 59.</t>
  </si>
  <si>
    <t xml:space="preserve">CTB, art. 59.</t>
  </si>
  <si>
    <t xml:space="preserve">R355</t>
  </si>
  <si>
    <t xml:space="preserve">Ciclofaixa › Prova, pergunta 3</t>
  </si>
  <si>
    <t xml:space="preserve">Sem ciclovia, quem tem preferência: a bicicleta ou o carro? → Resposta: A bicicleta, sobre os veículos motorizados. CTB, art. 58.</t>
  </si>
  <si>
    <t xml:space="preserve">CTB, art. 58.</t>
  </si>
  <si>
    <t xml:space="preserve">R356</t>
  </si>
  <si>
    <t xml:space="preserve">Rampa de acessibilidade › Aula</t>
  </si>
  <si>
    <t xml:space="preserve">Acessibilidade: calçadas e travessias</t>
  </si>
  <si>
    <t xml:space="preserve">A calçada rebaixada com rampa deixa cadeirantes, idosos e quem empurra carrinho atravessar com autonomia.</t>
  </si>
  <si>
    <t xml:space="preserve">R357</t>
  </si>
  <si>
    <t xml:space="preserve">Rampa de acessibilidade › Aula, ponto 1</t>
  </si>
  <si>
    <t xml:space="preserve">Acessibilidade é direito: a pessoa com deficiência deve poder viver de forma independente e participar da vida da cidade (Lei 13.146/2015, art. 53).</t>
  </si>
  <si>
    <t xml:space="preserve">Lei 13.146/2015, art. 53</t>
  </si>
  <si>
    <t xml:space="preserve">R358</t>
  </si>
  <si>
    <t xml:space="preserve">Rampa de acessibilidade › Aula, ponto 2</t>
  </si>
  <si>
    <t xml:space="preserve">Vias, calçadas e travessias devem ser planejadas e construídas de forma acessível (Lei 10.098/2000, art. 3º).</t>
  </si>
  <si>
    <t xml:space="preserve">Lei 10.098/2000, art. 3º</t>
  </si>
  <si>
    <t xml:space="preserve">R359</t>
  </si>
  <si>
    <t xml:space="preserve">Rampa de acessibilidade › Aula, ponto 3</t>
  </si>
  <si>
    <t xml:space="preserve">Nas travessias de pedestres, a calçada deve ter rebaixamento com rampa ou a via deve subir até o nível da calçada (Decreto 5.296/2004, art. 15).</t>
  </si>
  <si>
    <t xml:space="preserve">Decreto 5.296/2004, art. 15</t>
  </si>
  <si>
    <t xml:space="preserve">R360</t>
  </si>
  <si>
    <t xml:space="preserve">Rampa de acessibilidade › Aula, ponto 4</t>
  </si>
  <si>
    <t xml:space="preserve">A norma técnica ABNT NBR 9050 define as medidas da rampa, como a inclinação máxima.</t>
  </si>
  <si>
    <t xml:space="preserve">R361</t>
  </si>
  <si>
    <t xml:space="preserve">Rampa de acessibilidade › Aula, na prática</t>
  </si>
  <si>
    <t xml:space="preserve">Uma cadeirante não consegue atravessar porque a esquina tem degrau? Cabe à prefeitura adaptar a travessia com rampa.</t>
  </si>
  <si>
    <t xml:space="preserve">R362</t>
  </si>
  <si>
    <t xml:space="preserve">Rampa de acessibilidade › Prova, pergunta 1</t>
  </si>
  <si>
    <t xml:space="preserve">Para que serve a calçada rebaixada com rampa? → Resposta: Para que cadeirantes e outras pessoas atravessem com autonomia. Decreto 5.296/2004, art. 15; Lei 13.146/2015, art. 53.</t>
  </si>
  <si>
    <t xml:space="preserve">Decreto 5.296/2004, art. 15; Lei 13.146/2015, art. 53.</t>
  </si>
  <si>
    <t xml:space="preserve">R363</t>
  </si>
  <si>
    <t xml:space="preserve">Rampa de acessibilidade › Prova, pergunta 2</t>
  </si>
  <si>
    <t xml:space="preserve">Onde a rampa deve ficar? → Resposta: Nas travessias de pedestres. Decreto 5.296/2004, art. 15.</t>
  </si>
  <si>
    <t xml:space="preserve">Decreto 5.296/2004, art. 15.</t>
  </si>
  <si>
    <t xml:space="preserve">R364</t>
  </si>
  <si>
    <t xml:space="preserve">Rampa de acessibilidade › Prova, pergunta 3</t>
  </si>
  <si>
    <t xml:space="preserve">Qual lei diz que acessibilidade é um direito da pessoa com deficiência? → Resposta: Lei Brasileira de Inclusão (Lei 13.146/2015). Lei 13.146/2015, art. 53.</t>
  </si>
  <si>
    <t xml:space="preserve">Lei 13.146/2015, art. 53.</t>
  </si>
  <si>
    <t xml:space="preserve">R365</t>
  </si>
  <si>
    <t xml:space="preserve">Piso tátil na calçada › Aula</t>
  </si>
  <si>
    <t xml:space="preserve">Acessibilidade: deficiência visual</t>
  </si>
  <si>
    <t xml:space="preserve">O piso tátil guia pessoas cegas ou com baixa visão: as linhas mostram o caminho, e os pontos avisam perigo ou mudança.</t>
  </si>
  <si>
    <t xml:space="preserve">R366</t>
  </si>
  <si>
    <t xml:space="preserve">Piso tátil na calçada › Aula, ponto 1</t>
  </si>
  <si>
    <t xml:space="preserve">O piso tátil direcional, em linhas, indica o caminho; o de alerta, em pontos, avisa obstáculos, travessias e desníveis (ABNT NBR 16537).</t>
  </si>
  <si>
    <t xml:space="preserve">R367</t>
  </si>
  <si>
    <t xml:space="preserve">Piso tátil na calçada › Aula, ponto 2</t>
  </si>
  <si>
    <t xml:space="preserve">As cidades que precisam de Plano Diretor devem fazer um plano de rotas acessíveis, ligando os principais serviços (Estatuto da Cidade, art. 41, §3º).</t>
  </si>
  <si>
    <t xml:space="preserve">Estatuto da Cidade, art. 41, §3º</t>
  </si>
  <si>
    <t xml:space="preserve">R368</t>
  </si>
  <si>
    <t xml:space="preserve">Piso tátil na calçada › Aula, ponto 3</t>
  </si>
  <si>
    <t xml:space="preserve">A pessoa com deficiência visual pode entrar e ficar com o cão-guia em qualquer lugar aberto ao público (Lei 11.126/2005, art. 1º).</t>
  </si>
  <si>
    <t xml:space="preserve">Lei 11.126/2005, art. 1º</t>
  </si>
  <si>
    <t xml:space="preserve">R369</t>
  </si>
  <si>
    <t xml:space="preserve">Piso tátil na calçada › Aula, ponto 4</t>
  </si>
  <si>
    <t xml:space="preserve">Lixeiras, mesas e placas não podem bloquear a faixa livre da calçada nem o piso tátil.</t>
  </si>
  <si>
    <t xml:space="preserve">R370</t>
  </si>
  <si>
    <t xml:space="preserve">Piso tátil na calçada › Aula, na prática</t>
  </si>
  <si>
    <t xml:space="preserve">O restaurante colocou mesas em cima do piso tátil? Isso tira a rota de quem não enxerga: a fiscalização deve exigir a calçada livre.</t>
  </si>
  <si>
    <t xml:space="preserve">R371</t>
  </si>
  <si>
    <t xml:space="preserve">Piso tátil na calçada › Prova, pergunta 1</t>
  </si>
  <si>
    <t xml:space="preserve">O que indicam as linhas em relevo do piso tátil? → Resposta: O caminho a seguir. Piso tátil direcional (ABNT NBR 16537).</t>
  </si>
  <si>
    <t xml:space="preserve">Piso tátil direcional (ABNT NBR 16537).</t>
  </si>
  <si>
    <t xml:space="preserve">R372</t>
  </si>
  <si>
    <t xml:space="preserve">Piso tátil na calçada › Prova, pergunta 2</t>
  </si>
  <si>
    <t xml:space="preserve">Um restaurante pode barrar um cliente cego com cão-guia? → Resposta: Não, a lei garante a entrada com o cão-guia. Lei 11.126/2005, art. 1º.</t>
  </si>
  <si>
    <t xml:space="preserve">Lei 11.126/2005, art. 1º.</t>
  </si>
  <si>
    <t xml:space="preserve">R373</t>
  </si>
  <si>
    <t xml:space="preserve">Piso tátil na calçada › Prova, pergunta 3</t>
  </si>
  <si>
    <t xml:space="preserve">O plano de rotas acessíveis é previsto em qual lei? → Resposta: Estatuto da Cidade. Estatuto da Cidade, art. 41, §3º, incluído pela Lei Brasileira de Inclusão.</t>
  </si>
  <si>
    <t xml:space="preserve">Estatuto da Cidade, art. 41, §3º, incluído pela Lei Brasileira de Inclusão.</t>
  </si>
  <si>
    <t xml:space="preserve">R374</t>
  </si>
  <si>
    <t xml:space="preserve">Semáforo sonoro › Descrição</t>
  </si>
  <si>
    <t xml:space="preserve">Acessibilidade: travessias</t>
  </si>
  <si>
    <t xml:space="preserve">Botão e sinal sonoro para orientar a travessia de pessoas com deficiência visual (Lei 10.098/2000, art. 9º). Instale num cruzamento com semáforo.</t>
  </si>
  <si>
    <t xml:space="preserve">R375</t>
  </si>
  <si>
    <t xml:space="preserve">Ponto de ônibus acessível › Aula</t>
  </si>
  <si>
    <t xml:space="preserve">Transporte coletivo acessível</t>
  </si>
  <si>
    <t xml:space="preserve">Transporte coletivo acessível é direito: ônibus, pontos e terminais devem atender quem tem deficiência ou mobilidade reduzida.</t>
  </si>
  <si>
    <t xml:space="preserve">R376</t>
  </si>
  <si>
    <t xml:space="preserve">Ponto de ônibus acessível › Aula, ponto 1</t>
  </si>
  <si>
    <t xml:space="preserve">A pessoa com deficiência tem direito ao transporte e à mobilidade em igualdade de oportunidades, sem barreiras (Lei 13.146/2015, art. 46).</t>
  </si>
  <si>
    <t xml:space="preserve">Lei 13.146/2015, art. 46</t>
  </si>
  <si>
    <t xml:space="preserve">R377</t>
  </si>
  <si>
    <t xml:space="preserve">Ponto de ônibus acessível › Aula, ponto 2</t>
  </si>
  <si>
    <t xml:space="preserve">Fazem parte do serviço, e devem ser acessíveis, os veículos, os terminais, as estações e os pontos de parada (Lei 13.146/2015, art. 46, §1º; Lei 10.098/2000, art. 16).</t>
  </si>
  <si>
    <t xml:space="preserve">Lei 13.146/2015, art. 46, §1º; Lei 10.098/2000, art. 16</t>
  </si>
  <si>
    <t xml:space="preserve">R378</t>
  </si>
  <si>
    <t xml:space="preserve">Ponto de ônibus acessível › Aula, ponto 3</t>
  </si>
  <si>
    <t xml:space="preserve">Pessoas com deficiência de baixa renda têm passe livre no transporte coletivo interestadual (Lei 8.899/1994).</t>
  </si>
  <si>
    <t xml:space="preserve">Lei 8.899/1994</t>
  </si>
  <si>
    <t xml:space="preserve">R379</t>
  </si>
  <si>
    <t xml:space="preserve">Ponto de ônibus acessível › Aula, ponto 4</t>
  </si>
  <si>
    <t xml:space="preserve">Quem tem mais de 65 anos não paga o ônibus urbano (Estatuto da Pessoa Idosa, art. 39).</t>
  </si>
  <si>
    <t xml:space="preserve">Estatuto da Pessoa Idosa, art. 39</t>
  </si>
  <si>
    <t xml:space="preserve">R380</t>
  </si>
  <si>
    <t xml:space="preserve">Ponto de ônibus acessível › Aula, na prática</t>
  </si>
  <si>
    <t xml:space="preserve">O ônibus chegou com o elevador quebrado e o motorista seguiu sem levar o cadeirante? A empresa descumpriu o dever de acessibilidade, e a prefeitura, que concede o serviço, deve fiscalizar.</t>
  </si>
  <si>
    <t xml:space="preserve">R381</t>
  </si>
  <si>
    <t xml:space="preserve">Ponto de ônibus acessível › Prova, pergunta 1</t>
  </si>
  <si>
    <t xml:space="preserve">O que deve ser acessível no transporte coletivo? → Resposta: Os veículos, os terminais, as estações e os pontos de parada. Lei 13.146/2015, art. 46, §1º.</t>
  </si>
  <si>
    <t xml:space="preserve">Lei 13.146/2015, art. 46, §1º.</t>
  </si>
  <si>
    <t xml:space="preserve">R382</t>
  </si>
  <si>
    <t xml:space="preserve">Ponto de ônibus acessível › Prova, pergunta 2</t>
  </si>
  <si>
    <t xml:space="preserve">Quem tem passe livre no ônibus interestadual? → Resposta: Pessoas com deficiência de baixa renda. Lei 8.899/1994.</t>
  </si>
  <si>
    <t xml:space="preserve">Lei 8.899/1994.</t>
  </si>
  <si>
    <t xml:space="preserve">R383</t>
  </si>
  <si>
    <t xml:space="preserve">Ponto de ônibus acessível › Prova, pergunta 3</t>
  </si>
  <si>
    <t xml:space="preserve">A partir de que idade o ônibus urbano é gratuito? → Resposta: 65 anos. Estatuto da Pessoa Idosa, art. 39.</t>
  </si>
  <si>
    <t xml:space="preserve">Estatuto da Pessoa Idosa, art. 39.</t>
  </si>
  <si>
    <t xml:space="preserve">R384</t>
  </si>
  <si>
    <t xml:space="preserve">Faixa exclusiva de ônibus › Aula</t>
  </si>
  <si>
    <t xml:space="preserve">Trânsito: transporte coletivo</t>
  </si>
  <si>
    <t xml:space="preserve">A faixa exclusiva dá prioridade ao ônibus, que leva muito mais gente do que os carros.</t>
  </si>
  <si>
    <t xml:space="preserve">R385</t>
  </si>
  <si>
    <t xml:space="preserve">Faixa exclusiva de ônibus › Aula, ponto 1</t>
  </si>
  <si>
    <t xml:space="preserve">Em vias com várias faixas no mesmo sentido, as da direita são para os veículos mais lentos e maiores, e as da esquerda para ultrapassagem e os mais rápidos (CTB, art. 29, IV).</t>
  </si>
  <si>
    <t xml:space="preserve">CTB, art. 29, IV</t>
  </si>
  <si>
    <t xml:space="preserve">R386</t>
  </si>
  <si>
    <t xml:space="preserve">Faixa exclusiva de ônibus › Aula, ponto 2</t>
  </si>
  <si>
    <t xml:space="preserve">O Município pode reservar espaço exclusivo nas vias para o transporte coletivo e para bicicletas e pedestres (Lei 12.587/2012, art. 23, IV).</t>
  </si>
  <si>
    <t xml:space="preserve">Lei 12.587/2012, art. 23, IV</t>
  </si>
  <si>
    <t xml:space="preserve">R387</t>
  </si>
  <si>
    <t xml:space="preserve">Faixa exclusiva de ônibus › Aula, ponto 3</t>
  </si>
  <si>
    <t xml:space="preserve">Transitar com carro na faixa exclusiva de ônibus é infração gravíssima (CTB, art. 184, III).</t>
  </si>
  <si>
    <t xml:space="preserve">CTB, art. 184, III</t>
  </si>
  <si>
    <t xml:space="preserve">R388</t>
  </si>
  <si>
    <t xml:space="preserve">Faixa exclusiva de ônibus › Aula, na prática</t>
  </si>
  <si>
    <t xml:space="preserve">O trânsito parou e a faixa de ônibus está livre? Não é atalho: entrar nela com o carro é infração gravíssima.</t>
  </si>
  <si>
    <t xml:space="preserve">R389</t>
  </si>
  <si>
    <t xml:space="preserve">Faixa exclusiva de ônibus › Prova, pergunta 1</t>
  </si>
  <si>
    <t xml:space="preserve">Andar de carro na faixa exclusiva de ônibus é: → Resposta: Infração gravíssima. CTB, art. 184, III.</t>
  </si>
  <si>
    <t xml:space="preserve">CTB, art. 184, III.</t>
  </si>
  <si>
    <t xml:space="preserve">R390</t>
  </si>
  <si>
    <t xml:space="preserve">Faixa exclusiva de ônibus › Prova, pergunta 2</t>
  </si>
  <si>
    <t xml:space="preserve">Numa avenida com várias faixas no mesmo sentido, por onde andam os veículos mais lentos? → Resposta: Pela faixa da direita. CTB, art. 29, IV.</t>
  </si>
  <si>
    <t xml:space="preserve">CTB, art. 29, IV.</t>
  </si>
  <si>
    <t xml:space="preserve">R391</t>
  </si>
  <si>
    <t xml:space="preserve">Faixa exclusiva de ônibus › Prova, pergunta 3</t>
  </si>
  <si>
    <t xml:space="preserve">Quem pode criar faixas exclusivas de ônibus na cidade? → Resposta: O Município. Lei 12.587/2012, art. 23, IV.</t>
  </si>
  <si>
    <t xml:space="preserve">Lei 12.587/2012, art. 23, IV.</t>
  </si>
  <si>
    <t xml:space="preserve">R392</t>
  </si>
  <si>
    <t xml:space="preserve">Estação de bikes e patinetes › Aula</t>
  </si>
  <si>
    <t xml:space="preserve">Micromobilidade</t>
  </si>
  <si>
    <t xml:space="preserve">Bicicletas e patinetes compartilhados ajudam a cidade a se mover sem poluição, mas também seguem regras de trânsito.</t>
  </si>
  <si>
    <t xml:space="preserve">R393</t>
  </si>
  <si>
    <t xml:space="preserve">Estação de bikes e patinetes › Aula, ponto 1</t>
  </si>
  <si>
    <t xml:space="preserve">O patinete elétrico é um "equipamento de mobilidade individual autopropelido": não exige habilitação nem placa, mas tem velocidade máxima definida pelo Contran (Resolução Contran 996/2023).</t>
  </si>
  <si>
    <t xml:space="preserve">Resolução Contran 996/2023</t>
  </si>
  <si>
    <t xml:space="preserve">R394</t>
  </si>
  <si>
    <t xml:space="preserve">Estação de bikes e patinetes › Aula, ponto 2</t>
  </si>
  <si>
    <t xml:space="preserve">Na calçada, o pedestre tem prioridade. Bicicleta só pode andar na calçada onde houver sinalização autorizando (CTB, art. 59).</t>
  </si>
  <si>
    <t xml:space="preserve">R395</t>
  </si>
  <si>
    <t xml:space="preserve">Estação de bikes e patinetes › Aula, ponto 3</t>
  </si>
  <si>
    <t xml:space="preserve">Cabe ao Município planejar a mobilidade e regulamentar os serviços de transporte urbano, como as estações de compartilhamento e onde estacionar (Lei 12.587/2012, art. 18).</t>
  </si>
  <si>
    <t xml:space="preserve">Lei 12.587/2012, art. 18</t>
  </si>
  <si>
    <t xml:space="preserve">R396</t>
  </si>
  <si>
    <t xml:space="preserve">Estação de bikes e patinetes › Aula, ponto 4</t>
  </si>
  <si>
    <t xml:space="preserve">Quem causa dano a outra pessoa com bicicleta ou patinete deve indenizar (Código Civil, arts. 186 e 927).</t>
  </si>
  <si>
    <t xml:space="preserve">Código Civil, arts. 186 e 927</t>
  </si>
  <si>
    <t xml:space="preserve">R397</t>
  </si>
  <si>
    <t xml:space="preserve">Estação de bikes e patinetes › Aula, na prática</t>
  </si>
  <si>
    <t xml:space="preserve">Um patinete elétrico atropelou um pedestre na calçada? Quem pilotava responde pelos danos, e a prefeitura pode regulamentar onde os patinetes podem andar.</t>
  </si>
  <si>
    <t xml:space="preserve">R398</t>
  </si>
  <si>
    <t xml:space="preserve">Estação de bikes e patinetes › Prova, pergunta 1</t>
  </si>
  <si>
    <t xml:space="preserve">Precisa de carteira de motorista para andar de patinete elétrico autopropelido? → Resposta: Não, mas há limite de velocidade e regras de circulação. Resolução Contran 996/2023.</t>
  </si>
  <si>
    <t xml:space="preserve">Resolução Contran 996/2023.</t>
  </si>
  <si>
    <t xml:space="preserve">R399</t>
  </si>
  <si>
    <t xml:space="preserve">Estação de bikes e patinetes › Prova, pergunta 2</t>
  </si>
  <si>
    <t xml:space="preserve">Na calçada, quem tem prioridade? → Resposta: O pedestre. A calçada é do pedestre; bicicleta só anda nela com sinalização autorizando (CTB, art. 59).</t>
  </si>
  <si>
    <t xml:space="preserve">A calçada é do pedestre; bicicleta só anda nela com sinalização autorizando (CTB, art. 59).</t>
  </si>
  <si>
    <t xml:space="preserve">R400</t>
  </si>
  <si>
    <t xml:space="preserve">Estação de bikes e patinetes › Prova, pergunta 3</t>
  </si>
  <si>
    <t xml:space="preserve">Quem regulamenta as estações de bicicletas e patinetes compartilhados? → Resposta: O Município. Lei 12.587/2012, art. 18.</t>
  </si>
  <si>
    <t xml:space="preserve">Lei 12.587/2012, art. 18.</t>
  </si>
  <si>
    <t xml:space="preserve">R401</t>
  </si>
  <si>
    <t xml:space="preserve">Central de motofrete › Aula</t>
  </si>
  <si>
    <t xml:space="preserve">Trânsito: motocicletas</t>
  </si>
  <si>
    <t xml:space="preserve">A moto é ágil e útil, mas quem pilota está mais exposto: capacete e regras salvam vidas.</t>
  </si>
  <si>
    <t xml:space="preserve">R402</t>
  </si>
  <si>
    <t xml:space="preserve">Central de motofrete › Aula, ponto 1</t>
  </si>
  <si>
    <t xml:space="preserve">Quem pilota e quem vai na garupa só podem circular com capacete com viseira ou óculos de proteção (CTB, arts. 54, I, e 55, I).</t>
  </si>
  <si>
    <t xml:space="preserve">CTB, arts. 54, I, e 55, I</t>
  </si>
  <si>
    <t xml:space="preserve">R403</t>
  </si>
  <si>
    <t xml:space="preserve">Central de motofrete › Aula, ponto 2</t>
  </si>
  <si>
    <t xml:space="preserve">Andar de moto sem capacete é infração gravíssima, com suspensão do direito de dirigir (CTB, art. 244, I).</t>
  </si>
  <si>
    <t xml:space="preserve">CTB, art. 244, I</t>
  </si>
  <si>
    <t xml:space="preserve">R404</t>
  </si>
  <si>
    <t xml:space="preserve">Central de motofrete › Aula, ponto 3</t>
  </si>
  <si>
    <t xml:space="preserve">Para pilotar moto é preciso habilitação na categoria A (CTB, art. 143, I).</t>
  </si>
  <si>
    <t xml:space="preserve">CTB, art. 143, I</t>
  </si>
  <si>
    <t xml:space="preserve">R405</t>
  </si>
  <si>
    <t xml:space="preserve">Central de motofrete › Aula, ponto 4</t>
  </si>
  <si>
    <t xml:space="preserve">O motofrete é profissão regulamentada: exige pelo menos 21 anos, 2 anos de habilitação na categoria A e curso especializado (Lei 12.009/2009, art. 2º).</t>
  </si>
  <si>
    <t xml:space="preserve">Lei 12.009/2009, art. 2º</t>
  </si>
  <si>
    <t xml:space="preserve">R406</t>
  </si>
  <si>
    <t xml:space="preserve">Central de motofrete › Aula, na prática</t>
  </si>
  <si>
    <t xml:space="preserve">O entregador vai "só ali na esquina" sem capacete? É infração gravíssima, com suspensão do direito de dirigir, e um risco enorme para a vida dele.</t>
  </si>
  <si>
    <t xml:space="preserve">R407</t>
  </si>
  <si>
    <t xml:space="preserve">Central de motofrete › Prova, pergunta 1</t>
  </si>
  <si>
    <t xml:space="preserve">Andar de moto sem capacete é: → Resposta: Infração gravíssima, com suspensão do direito de dirigir. CTB, art. 244, I.</t>
  </si>
  <si>
    <t xml:space="preserve">CTB, art. 244, I.</t>
  </si>
  <si>
    <t xml:space="preserve">R408</t>
  </si>
  <si>
    <t xml:space="preserve">Central de motofrete › Prova, pergunta 2</t>
  </si>
  <si>
    <t xml:space="preserve">Qual categoria de habilitação é exigida para pilotar moto? → Resposta: A. CTB, art. 143, I.</t>
  </si>
  <si>
    <t xml:space="preserve">CTB, art. 143, I.</t>
  </si>
  <si>
    <t xml:space="preserve">R409</t>
  </si>
  <si>
    <t xml:space="preserve">Central de motofrete › Prova, pergunta 3</t>
  </si>
  <si>
    <t xml:space="preserve">Qual destes é requisito para trabalhar com motofrete? → Resposta: Ter pelo menos 21 anos, 2 anos de habilitação na categoria A e curso especializado. Lei 12.009/2009, art. 2º.</t>
  </si>
  <si>
    <t xml:space="preserve">Lei 12.009/2009, art. 2º.</t>
  </si>
  <si>
    <t xml:space="preserve">R410</t>
  </si>
  <si>
    <t xml:space="preserve">Semáforo de pedestres › Aula</t>
  </si>
  <si>
    <t xml:space="preserve">Trânsito: travessia de pedestres</t>
  </si>
  <si>
    <t xml:space="preserve">O semáforo de pedestres organiza a travessia longe dos cruzamentos: quando fica vermelho para os carros, é a vez de quem atravessa.</t>
  </si>
  <si>
    <t xml:space="preserve">R411</t>
  </si>
  <si>
    <t xml:space="preserve">Semáforo de pedestres › Aula, ponto 1</t>
  </si>
  <si>
    <t xml:space="preserve">Onde há semáforo de pedestres, quem atravessa deve obedecer às luzes dele (CTB, art. 69, III, "a").</t>
  </si>
  <si>
    <t xml:space="preserve">CTB, art. 69, III, "a"</t>
  </si>
  <si>
    <t xml:space="preserve">R412</t>
  </si>
  <si>
    <t xml:space="preserve">Semáforo de pedestres › Aula, ponto 2</t>
  </si>
  <si>
    <t xml:space="preserve">Quem ainda não terminou a travessia tem preferência, mesmo que o sinal já tenha aberto para os carros (CTB, art. 70, parágrafo único).</t>
  </si>
  <si>
    <t xml:space="preserve">CTB, art. 70, parágrafo único</t>
  </si>
  <si>
    <t xml:space="preserve">R413</t>
  </si>
  <si>
    <t xml:space="preserve">Semáforo de pedestres › Aula, ponto 3</t>
  </si>
  <si>
    <t xml:space="preserve">Avançar o sinal vermelho é infração gravíssima (CTB, art. 208).</t>
  </si>
  <si>
    <t xml:space="preserve">CTB, art. 208</t>
  </si>
  <si>
    <t xml:space="preserve">R414</t>
  </si>
  <si>
    <t xml:space="preserve">Semáforo de pedestres › Aula, ponto 4</t>
  </si>
  <si>
    <t xml:space="preserve">Com a botoeira, o pedestre pede a travessia; em vias movimentadas, o semáforo pode ter sinal sonoro para pessoas cegas (Lei 10.098/2000, art. 9º).</t>
  </si>
  <si>
    <t xml:space="preserve">Lei 10.098/2000, art. 9º</t>
  </si>
  <si>
    <t xml:space="preserve">R415</t>
  </si>
  <si>
    <t xml:space="preserve">Semáforo de pedestres › Aula, na prática</t>
  </si>
  <si>
    <t xml:space="preserve">O sinal abriu para os carros, mas uma senhora ainda está no meio da faixa? Espere ela terminar: a preferência continua sendo dela.</t>
  </si>
  <si>
    <t xml:space="preserve">R416</t>
  </si>
  <si>
    <t xml:space="preserve">Semáforo de pedestres › Prova, pergunta 1</t>
  </si>
  <si>
    <t xml:space="preserve">O sinal abriu para os carros, mas um idoso ainda está atravessando. O que o motorista deve fazer? → Resposta: Esperar o pedestre terminar a travessia. CTB, art. 70, parágrafo único.</t>
  </si>
  <si>
    <t xml:space="preserve">CTB, art. 70, parágrafo único.</t>
  </si>
  <si>
    <t xml:space="preserve">R417</t>
  </si>
  <si>
    <t xml:space="preserve">Semáforo de pedestres › Prova, pergunta 2</t>
  </si>
  <si>
    <t xml:space="preserve">Avançar o sinal vermelho é: → Resposta: Infração gravíssima. CTB, art. 208.</t>
  </si>
  <si>
    <t xml:space="preserve">CTB, art. 208.</t>
  </si>
  <si>
    <t xml:space="preserve">R418</t>
  </si>
  <si>
    <t xml:space="preserve">Semáforo de pedestres › Prova, pergunta 3</t>
  </si>
  <si>
    <t xml:space="preserve">Diante do bonequinho vermelho, o pedestre deve: → Resposta: Esperar o verde. CTB, art. 69, III, "a".</t>
  </si>
  <si>
    <t xml:space="preserve">CTB, art. 69, III, "a".</t>
  </si>
  <si>
    <t xml:space="preserve">R419</t>
  </si>
  <si>
    <t xml:space="preserve">Lombada › Aula</t>
  </si>
  <si>
    <t xml:space="preserve">Trânsito: redutores de velocidade</t>
  </si>
  <si>
    <t xml:space="preserve">A lombada reduz a velocidade nas ruas de bairro, mas só pode ser instalada pela autoridade de trânsito, dentro do padrão e bem sinalizada.</t>
  </si>
  <si>
    <t xml:space="preserve">R420</t>
  </si>
  <si>
    <t xml:space="preserve">Lombada › Aula, ponto 1</t>
  </si>
  <si>
    <t xml:space="preserve">É proibido usar lombadas e sonorizadores como redutores de velocidade, salvo nos casos e padrões definidos pelo Contran (CTB, art. 94, parágrafo único).</t>
  </si>
  <si>
    <t xml:space="preserve">CTB, art. 94, parágrafo único</t>
  </si>
  <si>
    <t xml:space="preserve">R421</t>
  </si>
  <si>
    <t xml:space="preserve">Lombada › Aula, ponto 2</t>
  </si>
  <si>
    <t xml:space="preserve">A Resolução Contran 600/2016 define onde a lombada pode ser usada, suas medidas e a sinalização obrigatória.</t>
  </si>
  <si>
    <t xml:space="preserve">R422</t>
  </si>
  <si>
    <t xml:space="preserve">Lombada › Aula, ponto 3</t>
  </si>
  <si>
    <t xml:space="preserve">A lombada precisa de placa de advertência e de pintura que a deixem visível de dia e de noite.</t>
  </si>
  <si>
    <t xml:space="preserve">R423</t>
  </si>
  <si>
    <t xml:space="preserve">Lombada › Aula, ponto 4</t>
  </si>
  <si>
    <t xml:space="preserve">Nenhuma obra que atrapalhe o trânsito pode ser feita na rua sem permissão do órgão de trânsito; morador não pode fazer lombada por conta própria (CTB, art. 95).</t>
  </si>
  <si>
    <t xml:space="preserve">CTB, art. 95</t>
  </si>
  <si>
    <t xml:space="preserve">R424</t>
  </si>
  <si>
    <t xml:space="preserve">Lombada › Aula, na prática</t>
  </si>
  <si>
    <t xml:space="preserve">Os vizinhos querem fazer uma lombada de cimento em frente à escola, por conta própria? Não podem: devem pedir à prefeitura, que avalia e instala dentro do padrão.</t>
  </si>
  <si>
    <t xml:space="preserve">R425</t>
  </si>
  <si>
    <t xml:space="preserve">Lombada › Prova, pergunta 1</t>
  </si>
  <si>
    <t xml:space="preserve">Um morador pode fazer uma lombada em frente de casa por conta própria? → Resposta: Não: obra na via depende de permissão do órgão de trânsito. CTB, art. 95.</t>
  </si>
  <si>
    <t xml:space="preserve">CTB, art. 95.</t>
  </si>
  <si>
    <t xml:space="preserve">R426</t>
  </si>
  <si>
    <t xml:space="preserve">Lombada › Prova, pergunta 2</t>
  </si>
  <si>
    <t xml:space="preserve">Quem define os padrões das lombadas? → Resposta: O Contran. CTB, art. 94, parágrafo único; Resolução Contran 600/2016.</t>
  </si>
  <si>
    <t xml:space="preserve">CTB, art. 94, parágrafo único; Resolução Contran 600/2016.</t>
  </si>
  <si>
    <t xml:space="preserve">R427</t>
  </si>
  <si>
    <t xml:space="preserve">Lombada › Prova, pergunta 3</t>
  </si>
  <si>
    <t xml:space="preserve">O que toda lombada precisa ter? → Resposta: Sinalização: placa e pintura visíveis. Resolução Contran 600/2016.</t>
  </si>
  <si>
    <t xml:space="preserve">Resolução Contran 600/2016.</t>
  </si>
  <si>
    <t xml:space="preserve">R428</t>
  </si>
  <si>
    <t xml:space="preserve">Rodoviária › Aula</t>
  </si>
  <si>
    <t xml:space="preserve">Transporte rodoviário de passageiros</t>
  </si>
  <si>
    <t xml:space="preserve">A rodoviária liga a cidade ao resto do país. As viagens entre estados são reguladas pela União, e os passageiros têm direitos garantidos em lei.</t>
  </si>
  <si>
    <t xml:space="preserve">R429</t>
  </si>
  <si>
    <t xml:space="preserve">Rodoviária › Aula, ponto 1</t>
  </si>
  <si>
    <t xml:space="preserve">O transporte de passageiros entre estados é regulado e fiscalizado pela ANTT (Lei 10.233/2001); entre cidades do mesmo estado, pelo Estado; dentro da cidade, pelo Município (CF, art. 30, V).</t>
  </si>
  <si>
    <t xml:space="preserve">R430</t>
  </si>
  <si>
    <t xml:space="preserve">Rodoviária › Aula, ponto 2</t>
  </si>
  <si>
    <t xml:space="preserve">No ônibus interestadual, cada viagem reserva 2 vagas gratuitas para idosos de baixa renda e dá 50% de desconto aos demais idosos que excederem essas vagas (Estatuto da Pessoa Idosa, art. 40).</t>
  </si>
  <si>
    <t xml:space="preserve">Estatuto da Pessoa Idosa, art. 40</t>
  </si>
  <si>
    <t xml:space="preserve">R431</t>
  </si>
  <si>
    <t xml:space="preserve">Rodoviária › Aula, ponto 3</t>
  </si>
  <si>
    <t xml:space="preserve">Jovens de 15 a 29 anos de baixa renda, com o ID Jovem, têm 2 vagas gratuitas e 2 com desconto de 50% por viagem interestadual (Estatuto da Juventude, Lei 12.852/2013, art. 32).</t>
  </si>
  <si>
    <t xml:space="preserve">Estatuto da Juventude, Lei 12.852/2013, art. 32</t>
  </si>
  <si>
    <t xml:space="preserve">R432</t>
  </si>
  <si>
    <t xml:space="preserve">Rodoviária › Aula, ponto 4</t>
  </si>
  <si>
    <t xml:space="preserve">R433</t>
  </si>
  <si>
    <t xml:space="preserve">Rodoviária › Aula, ponto 5</t>
  </si>
  <si>
    <t xml:space="preserve">Criança ou adolescente menor de 16 anos não pode viajar para fora da comarca onde mora sem os pais ou responsável, salvo com autorização expressa deles ou do juiz (ECA, art. 83, com a Lei 13.812/2019).</t>
  </si>
  <si>
    <t xml:space="preserve">ECA, art. 83, com a Lei 13.812/2019</t>
  </si>
  <si>
    <t xml:space="preserve">ECA, art. 83 (viagem de menores): conferir redação após a Lei 13.812/2019.</t>
  </si>
  <si>
    <t xml:space="preserve">R434</t>
  </si>
  <si>
    <t xml:space="preserve">Rodoviária › Aula, na prática</t>
  </si>
  <si>
    <t xml:space="preserve">Uma senhora de 70 anos, de baixa renda, quer viajar para outro estado e as duas vagas gratuitas já foram usadas? Ela tem direito a pelo menos 50% de desconto na passagem.</t>
  </si>
  <si>
    <t xml:space="preserve">R435</t>
  </si>
  <si>
    <t xml:space="preserve">Rodoviária › Prova, pergunta 1</t>
  </si>
  <si>
    <t xml:space="preserve">Quem fiscaliza o ônibus que vai para outro estado? → Resposta: A ANTT. A Agência Nacional de Transportes Terrestres (Lei 10.233/2001).</t>
  </si>
  <si>
    <t xml:space="preserve">A Agência Nacional de Transportes Terrestres (Lei 10.233/2001).</t>
  </si>
  <si>
    <t xml:space="preserve">R436</t>
  </si>
  <si>
    <t xml:space="preserve">Rodoviária › Prova, pergunta 2</t>
  </si>
  <si>
    <t xml:space="preserve">Quantas vagas gratuitas para idosos de baixa renda cada ônibus interestadual deve reservar? → Resposta: 2. Estatuto da Pessoa Idosa, art. 40, I.</t>
  </si>
  <si>
    <t xml:space="preserve">Estatuto da Pessoa Idosa, art. 40, I.</t>
  </si>
  <si>
    <t xml:space="preserve">R437</t>
  </si>
  <si>
    <t xml:space="preserve">Rodoviária › Prova, pergunta 3</t>
  </si>
  <si>
    <t xml:space="preserve">Um menino de 14 anos pode viajar sozinho para outra cidade, fora da comarca? → Resposta: Não, sem os pais ou responsável só com autorização expressa deles ou do juiz. ECA, art. 83 (redação da Lei 13.812/2019).</t>
  </si>
  <si>
    <t xml:space="preserve">ECA, art. 83 (redação da Lei 13.812/2019).</t>
  </si>
  <si>
    <t xml:space="preserve">R438</t>
  </si>
  <si>
    <t xml:space="preserve">Portal da cidade › Aula</t>
  </si>
  <si>
    <t xml:space="preserve">Organização do Município</t>
  </si>
  <si>
    <t xml:space="preserve">O Município é um ente da federação, com território, símbolos e autonomia próprios.</t>
  </si>
  <si>
    <t xml:space="preserve">R439</t>
  </si>
  <si>
    <t xml:space="preserve">Portal da cidade › Aula, ponto 1</t>
  </si>
  <si>
    <t xml:space="preserve">A República Federativa do Brasil é formada pela União, pelos Estados, pelo Distrito Federal e pelos Municípios, todos autônomos (CF, arts. 1º e 18).</t>
  </si>
  <si>
    <t xml:space="preserve">CF, arts. 1º e 18</t>
  </si>
  <si>
    <t xml:space="preserve">R440</t>
  </si>
  <si>
    <t xml:space="preserve">Portal da cidade › Aula, ponto 2</t>
  </si>
  <si>
    <t xml:space="preserve">Os Municípios podem ter símbolos próprios, como bandeira, brasão e hino (CF, art. 13, §2º).</t>
  </si>
  <si>
    <t xml:space="preserve">CF, art. 13, §2º</t>
  </si>
  <si>
    <t xml:space="preserve">R441</t>
  </si>
  <si>
    <t xml:space="preserve">Portal da cidade › Aula, ponto 3</t>
  </si>
  <si>
    <t xml:space="preserve">O Município se organiza por uma Lei Orgânica, votada pela Câmara Municipal (CF, art. 29).</t>
  </si>
  <si>
    <t xml:space="preserve">R442</t>
  </si>
  <si>
    <t xml:space="preserve">Portal da cidade › Aula, ponto 4</t>
  </si>
  <si>
    <t xml:space="preserve">Criar, fundir ou desmembrar Municípios exige lei estadual, estudo de viabilidade e plebiscito com a população envolvida (CF, art. 18, §4º).</t>
  </si>
  <si>
    <t xml:space="preserve">CF, art. 18, §4º</t>
  </si>
  <si>
    <t xml:space="preserve">R443</t>
  </si>
  <si>
    <t xml:space="preserve">Portal da cidade › Aula, na prática</t>
  </si>
  <si>
    <t xml:space="preserve">Um bairro quer se separar e virar uma nova cidade? Não basta a vontade dos moradores: são exigidos lei estadual, estudo de viabilidade e plebiscito.</t>
  </si>
  <si>
    <t xml:space="preserve">R444</t>
  </si>
  <si>
    <t xml:space="preserve">Portal da cidade › Prova, pergunta 1</t>
  </si>
  <si>
    <t xml:space="preserve">O Município pode ter bandeira e hino próprios? → Resposta: Sim, a Constituição permite símbolos próprios. CF, art. 13, §2º.</t>
  </si>
  <si>
    <t xml:space="preserve">CF, art. 13, §2º.</t>
  </si>
  <si>
    <t xml:space="preserve">R445</t>
  </si>
  <si>
    <t xml:space="preserve">Portal da cidade › Prova, pergunta 2</t>
  </si>
  <si>
    <t xml:space="preserve">Qual é a "constituição" do Município? → Resposta: A Lei Orgânica. CF, art. 29.</t>
  </si>
  <si>
    <t xml:space="preserve">CF, art. 29.</t>
  </si>
  <si>
    <t xml:space="preserve">R446</t>
  </si>
  <si>
    <t xml:space="preserve">Portal da cidade › Prova, pergunta 3</t>
  </si>
  <si>
    <t xml:space="preserve">O que é preciso para um bairro virar uma nova cidade? → Resposta: Lei estadual, estudo de viabilidade e plebiscito. CF, art. 18, §4º.</t>
  </si>
  <si>
    <t xml:space="preserve">CF, art. 18, §4º.</t>
  </si>
  <si>
    <t xml:space="preserve">R447</t>
  </si>
  <si>
    <t xml:space="preserve">Shopping center › Aula</t>
  </si>
  <si>
    <t xml:space="preserve">Consumidor e locação comercial</t>
  </si>
  <si>
    <t xml:space="preserve">No shopping valem as regras do Código de Defesa do Consumidor, e os lojistas têm um contrato de aluguel com regras próprias.</t>
  </si>
  <si>
    <t xml:space="preserve">R448</t>
  </si>
  <si>
    <t xml:space="preserve">Shopping center › Aula, ponto 1</t>
  </si>
  <si>
    <t xml:space="preserve">Os preços devem estar à vista do consumidor, nas vitrines e nos produtos (Lei 10.962/2004, art. 2º).</t>
  </si>
  <si>
    <t xml:space="preserve">Lei 10.962/2004, art. 2º</t>
  </si>
  <si>
    <t xml:space="preserve">R449</t>
  </si>
  <si>
    <t xml:space="preserve">Shopping center › Aula, ponto 2</t>
  </si>
  <si>
    <t xml:space="preserve">O direito de se arrepender da compra em 7 dias vale para compras fora da loja, como pela internet ou por telefone (CDC, art. 49). Na loja física, a troca sem defeito depende da política da loja, que deve ser cumprida se for anunciada.</t>
  </si>
  <si>
    <t xml:space="preserve">R450</t>
  </si>
  <si>
    <t xml:space="preserve">Shopping center › Aula, ponto 3</t>
  </si>
  <si>
    <t xml:space="preserve">Produto com defeito: o fornecedor tem 30 dias para consertar; se não consertar, o consumidor escolhe troca, devolução do dinheiro ou abatimento (CDC, art. 18, §1º).</t>
  </si>
  <si>
    <t xml:space="preserve">CDC, art. 18, §1º</t>
  </si>
  <si>
    <t xml:space="preserve">R451</t>
  </si>
  <si>
    <t xml:space="preserve">Shopping center › Aula, ponto 4</t>
  </si>
  <si>
    <t xml:space="preserve">O shopping responde por furtos e danos no seu estacionamento (Súmula 130 do STJ).</t>
  </si>
  <si>
    <t xml:space="preserve">Súmula 130 do STJ</t>
  </si>
  <si>
    <t xml:space="preserve">R452</t>
  </si>
  <si>
    <t xml:space="preserve">Shopping center › Aula, ponto 5</t>
  </si>
  <si>
    <t xml:space="preserve">O aluguel das lojas em shopping segue a Lei do Inquilinato, com as condições livremente combinadas no contrato (Lei 8.245/1991, art. 54).</t>
  </si>
  <si>
    <t xml:space="preserve">Lei 8.245/1991, art. 54</t>
  </si>
  <si>
    <t xml:space="preserve">R453</t>
  </si>
  <si>
    <t xml:space="preserve">Shopping center › Aula, na prática</t>
  </si>
  <si>
    <t xml:space="preserve">Comprou uma camisa na loja do shopping, não tinha defeito e quis trocar pelo tamanho? A loja só é obrigada se tiver prometido a troca; o arrependimento de 7 dias é para compras fora da loja.</t>
  </si>
  <si>
    <t xml:space="preserve">R454</t>
  </si>
  <si>
    <t xml:space="preserve">Shopping center › Prova, pergunta 1</t>
  </si>
  <si>
    <t xml:space="preserve">O direito de arrependimento de 7 dias vale para: → Resposta: Compras feitas fora da loja, como pela internet. CDC, art. 49.</t>
  </si>
  <si>
    <t xml:space="preserve">CDC, art. 49.</t>
  </si>
  <si>
    <t xml:space="preserve">R455</t>
  </si>
  <si>
    <t xml:space="preserve">Shopping center › Prova, pergunta 2</t>
  </si>
  <si>
    <t xml:space="preserve">A loja pode deixar o preço só no caixa, sem mostrar na vitrine? → Resposta: Não, o preço deve estar visível ao consumidor. Lei 10.962/2004, art. 2º.</t>
  </si>
  <si>
    <t xml:space="preserve">Lei 10.962/2004, art. 2º.</t>
  </si>
  <si>
    <t xml:space="preserve">R456</t>
  </si>
  <si>
    <t xml:space="preserve">Shopping center › Prova, pergunta 3</t>
  </si>
  <si>
    <t xml:space="preserve">O carro foi arrombado no estacionamento do shopping. Quem responde? → Resposta: O shopping. Súmula 130 do STJ.</t>
  </si>
  <si>
    <t xml:space="preserve">Súmula 130 do STJ.</t>
  </si>
  <si>
    <t xml:space="preserve">R457</t>
  </si>
  <si>
    <t xml:space="preserve">Teatro municipal › Aula</t>
  </si>
  <si>
    <t xml:space="preserve">Cultura e liberdade de expressão</t>
  </si>
  <si>
    <t xml:space="preserve">A arte é livre, o acesso à cultura é direito de todos, e estudantes, idosos e pessoas com deficiência pagam meia.</t>
  </si>
  <si>
    <t xml:space="preserve">R458</t>
  </si>
  <si>
    <t xml:space="preserve">Teatro municipal › Aula, ponto 1</t>
  </si>
  <si>
    <t xml:space="preserve">É livre a expressão da atividade artística, independentemente de censura ou licença (CF, art. 5º, IX); é vedada toda censura de natureza política, ideológica e artística (CF, art. 220, §2º).</t>
  </si>
  <si>
    <t xml:space="preserve">CF, art. 220, §2º</t>
  </si>
  <si>
    <t xml:space="preserve">R459</t>
  </si>
  <si>
    <t xml:space="preserve">Teatro municipal › Aula, ponto 2</t>
  </si>
  <si>
    <t xml:space="preserve">O Estado garante a todos o pleno exercício dos direitos culturais e o acesso às fontes da cultura (CF, art. 215).</t>
  </si>
  <si>
    <t xml:space="preserve">CF, art. 215</t>
  </si>
  <si>
    <t xml:space="preserve">R460</t>
  </si>
  <si>
    <t xml:space="preserve">Teatro municipal › Aula, ponto 3</t>
  </si>
  <si>
    <t xml:space="preserve">Estudantes, pessoas com deficiência e jovens de baixa renda têm direito à meia-entrada, garantida em pelo menos 40% dos ingressos (Lei 12.933/2013); idosos também pagam meia (Estatuto da Pessoa Idosa, art. 23).</t>
  </si>
  <si>
    <t xml:space="preserve">Estatuto da Pessoa Idosa, art. 23</t>
  </si>
  <si>
    <t xml:space="preserve">R461</t>
  </si>
  <si>
    <t xml:space="preserve">Teatro municipal › Aula, ponto 4</t>
  </si>
  <si>
    <t xml:space="preserve">A classificação indicativa informa a idade recomendada dos espetáculos; ela orienta, não censura (ECA, art. 74).</t>
  </si>
  <si>
    <t xml:space="preserve">ECA, art. 74</t>
  </si>
  <si>
    <t xml:space="preserve">R462</t>
  </si>
  <si>
    <t xml:space="preserve">Teatro municipal › Aula, na prática</t>
  </si>
  <si>
    <t xml:space="preserve">A prefeitura quer proibir uma peça porque critica o governo? Não pode: a Constituição proíbe a censura artística e política.</t>
  </si>
  <si>
    <t xml:space="preserve">R463</t>
  </si>
  <si>
    <t xml:space="preserve">Teatro municipal › Prova, pergunta 1</t>
  </si>
  <si>
    <t xml:space="preserve">O prefeito pode proibir uma peça que critica o governo? → Resposta: Não, a censura é proibida pela Constituição. CF, arts. 5º, IX, e 220, §2º.</t>
  </si>
  <si>
    <t xml:space="preserve">CF, arts. 5º, IX, e 220, §2º.</t>
  </si>
  <si>
    <t xml:space="preserve">R464</t>
  </si>
  <si>
    <t xml:space="preserve">Teatro municipal › Prova, pergunta 2</t>
  </si>
  <si>
    <t xml:space="preserve">Quem tem direito à meia-entrada? → Resposta: Estudantes, idosos, pessoas com deficiência e jovens de baixa renda. Lei 12.933/2013 e Estatuto da Pessoa Idosa, art. 23.</t>
  </si>
  <si>
    <t xml:space="preserve">Lei 12.933/2013 e Estatuto da Pessoa Idosa, art. 23.</t>
  </si>
  <si>
    <t xml:space="preserve">R465</t>
  </si>
  <si>
    <t xml:space="preserve">Teatro municipal › Prova, pergunta 3</t>
  </si>
  <si>
    <t xml:space="preserve">Para que serve a classificação indicativa? → Resposta: Para informar a idade recomendada. ECA, art. 74.</t>
  </si>
  <si>
    <t xml:space="preserve">ECA, art. 74.</t>
  </si>
  <si>
    <t xml:space="preserve">R466</t>
  </si>
  <si>
    <t xml:space="preserve">Museu da cidade › Aula</t>
  </si>
  <si>
    <t xml:space="preserve">Patrimônio cultural</t>
  </si>
  <si>
    <t xml:space="preserve">A memória da cidade é patrimônio de todos: o poder público e a comunidade devem protegê-la.</t>
  </si>
  <si>
    <t xml:space="preserve">R467</t>
  </si>
  <si>
    <t xml:space="preserve">Museu da cidade › Aula, ponto 1</t>
  </si>
  <si>
    <t xml:space="preserve">Constituem patrimônio cultural brasileiro os bens que guardam a identidade e a memória dos grupos que formaram a sociedade, como obras, documentos, edificações e sítios (CF, art. 216).</t>
  </si>
  <si>
    <t xml:space="preserve">CF, art. 216</t>
  </si>
  <si>
    <t xml:space="preserve">R468</t>
  </si>
  <si>
    <t xml:space="preserve">Museu da cidade › Aula, ponto 2</t>
  </si>
  <si>
    <t xml:space="preserve">O tombamento protege bens de valor histórico ou artístico: depois dele, o bem não pode ser destruído nem alterado sem autorização (Decreto-Lei 25/1937).</t>
  </si>
  <si>
    <t xml:space="preserve">Decreto-Lei 25/1937</t>
  </si>
  <si>
    <t xml:space="preserve">R469</t>
  </si>
  <si>
    <t xml:space="preserve">Museu da cidade › Aula, ponto 3</t>
  </si>
  <si>
    <t xml:space="preserve">O Estatuto de Museus define o que é museu e os deveres de preservação e acesso do público (Lei 11.904/2009).</t>
  </si>
  <si>
    <t xml:space="preserve">Lei 11.904/2009</t>
  </si>
  <si>
    <t xml:space="preserve">R470</t>
  </si>
  <si>
    <t xml:space="preserve">Museu da cidade › Aula, ponto 4</t>
  </si>
  <si>
    <t xml:space="preserve">Destruir ou danificar bem especialmente protegido é crime contra o patrimônio cultural (Lei 9.605/1998, art. 62).</t>
  </si>
  <si>
    <t xml:space="preserve">Lei 9.605/1998, art. 62</t>
  </si>
  <si>
    <t xml:space="preserve">R471</t>
  </si>
  <si>
    <t xml:space="preserve">Museu da cidade › Aula, na prática</t>
  </si>
  <si>
    <t xml:space="preserve">O dono de um casarão tombado quer derrubá-lo para fazer estacionamento? Não pode sem autorização do órgão de patrimônio, e a demolição pode ser crime.</t>
  </si>
  <si>
    <t xml:space="preserve">R472</t>
  </si>
  <si>
    <t xml:space="preserve">Museu da cidade › Prova, pergunta 1</t>
  </si>
  <si>
    <t xml:space="preserve">Um casarão tombado pode ser demolido pelo dono quando ele quiser? → Resposta: Não, o bem tombado não pode ser destruído sem autorização. Decreto-Lei 25/1937.</t>
  </si>
  <si>
    <t xml:space="preserve">Decreto-Lei 25/1937.</t>
  </si>
  <si>
    <t xml:space="preserve">R473</t>
  </si>
  <si>
    <t xml:space="preserve">Museu da cidade › Prova, pergunta 2</t>
  </si>
  <si>
    <t xml:space="preserve">O que faz parte do patrimônio cultural brasileiro? → Resposta: Bens que guardam a identidade e a memória da sociedade. CF, art. 216.</t>
  </si>
  <si>
    <t xml:space="preserve">CF, art. 216.</t>
  </si>
  <si>
    <t xml:space="preserve">R474</t>
  </si>
  <si>
    <t xml:space="preserve">Museu da cidade › Prova, pergunta 3</t>
  </si>
  <si>
    <t xml:space="preserve">Pichar e danificar um monumento tombado é: → Resposta: Crime contra o patrimônio cultural. Lei 9.605/1998, arts. 62 e 65.</t>
  </si>
  <si>
    <t xml:space="preserve">Lei 9.605/1998, arts. 62 e 65.</t>
  </si>
  <si>
    <t xml:space="preserve">R475</t>
  </si>
  <si>
    <t xml:space="preserve">Biblioteca pública › Aula</t>
  </si>
  <si>
    <t xml:space="preserve">Direitos autorais e acesso à cultura</t>
  </si>
  <si>
    <t xml:space="preserve">A biblioteca garante acesso livre ao conhecimento, e os autores têm direito sobre as próprias obras.</t>
  </si>
  <si>
    <t xml:space="preserve">R476</t>
  </si>
  <si>
    <t xml:space="preserve">Biblioteca pública › Aula, ponto 1</t>
  </si>
  <si>
    <t xml:space="preserve">O autor tem o direito exclusivo de usar e autorizar o uso da obra, inclusive cópias (Lei 9.610/1998, art. 29).</t>
  </si>
  <si>
    <t xml:space="preserve">Lei 9.610/1998, art. 29</t>
  </si>
  <si>
    <t xml:space="preserve">R477</t>
  </si>
  <si>
    <t xml:space="preserve">Biblioteca pública › Aula, ponto 2</t>
  </si>
  <si>
    <t xml:space="preserve">Pode-se copiar pequenos trechos para uso privado de quem copia, sem fins de lucro, e citar trechos com indicação do autor (Lei 9.610/1998, art. 46).</t>
  </si>
  <si>
    <t xml:space="preserve">Lei 9.610/1998, art. 46</t>
  </si>
  <si>
    <t xml:space="preserve">R478</t>
  </si>
  <si>
    <t xml:space="preserve">Biblioteca pública › Aula, ponto 3</t>
  </si>
  <si>
    <t xml:space="preserve">Os direitos patrimoniais duram por toda a vida do autor e mais 70 anos; depois, a obra cai em domínio público (Lei 9.610/1998, art. 41).</t>
  </si>
  <si>
    <t xml:space="preserve">Lei 9.610/1998, art. 41</t>
  </si>
  <si>
    <t xml:space="preserve">R479</t>
  </si>
  <si>
    <t xml:space="preserve">Biblioteca pública › Aula, ponto 4</t>
  </si>
  <si>
    <t xml:space="preserve">As escolas devem ter biblioteca (Lei 12.244/2010, com prazos atualizados pela Lei 14.837/2024).</t>
  </si>
  <si>
    <t xml:space="preserve">Lei 12.244/2010, com prazos atualizados pela Lei 14.837/2024</t>
  </si>
  <si>
    <t xml:space="preserve">Bibliotecas escolares: conferir a lei que atualizou os prazos da Lei 12.244/2010.</t>
  </si>
  <si>
    <t xml:space="preserve">R480</t>
  </si>
  <si>
    <t xml:space="preserve">Biblioteca pública › Aula, na prática</t>
  </si>
  <si>
    <t xml:space="preserve">Um aluno quer tirar xerox do livro inteiro para não comprar? A cópia integral sem autorização viola o direito do autor; pequenos trechos para estudar podem.</t>
  </si>
  <si>
    <t xml:space="preserve">R481</t>
  </si>
  <si>
    <t xml:space="preserve">Biblioteca pública › Prova, pergunta 1</t>
  </si>
  <si>
    <t xml:space="preserve">Pode tirar cópia do livro inteiro para vender aos colegas? → Resposta: Não, viola o direito autoral. Lei 9.610/1998, arts. 29 e 46.</t>
  </si>
  <si>
    <t xml:space="preserve">Lei 9.610/1998, arts. 29 e 46.</t>
  </si>
  <si>
    <t xml:space="preserve">R482</t>
  </si>
  <si>
    <t xml:space="preserve">Biblioteca pública › Prova, pergunta 2</t>
  </si>
  <si>
    <t xml:space="preserve">Quando uma obra cai em domínio público? → Resposta: 70 anos depois da morte do autor (contados a partir de 1º de janeiro do ano seguinte). Lei 9.610/1998, art. 41.</t>
  </si>
  <si>
    <t xml:space="preserve">Lei 9.610/1998, art. 41.</t>
  </si>
  <si>
    <t xml:space="preserve">R483</t>
  </si>
  <si>
    <t xml:space="preserve">Biblioteca pública › Prova, pergunta 3</t>
  </si>
  <si>
    <t xml:space="preserve">Citar um trecho de livro num trabalho escolar: → Resposta: É permitido, indicando o autor e a obra. Lei 9.610/1998, art. 46, III.</t>
  </si>
  <si>
    <t xml:space="preserve">Lei 9.610/1998, art. 46, III.</t>
  </si>
  <si>
    <t xml:space="preserve">R484</t>
  </si>
  <si>
    <t xml:space="preserve">Estádio de futebol › Aula</t>
  </si>
  <si>
    <t xml:space="preserve">Direito Desportivo e do torcedor</t>
  </si>
  <si>
    <t xml:space="preserve">O esporte é direito de todos, e o torcedor é consumidor: tem direito a segurança, informação e respeito.</t>
  </si>
  <si>
    <t xml:space="preserve">R485</t>
  </si>
  <si>
    <t xml:space="preserve">Estádio de futebol › Aula, ponto 1</t>
  </si>
  <si>
    <t xml:space="preserve">É dever do Estado fomentar práticas desportivas, formais e não formais, como direito de cada um (CF, art. 217).</t>
  </si>
  <si>
    <t xml:space="preserve">CF, art. 217</t>
  </si>
  <si>
    <t xml:space="preserve">R486</t>
  </si>
  <si>
    <t xml:space="preserve">Estádio de futebol › Aula, ponto 2</t>
  </si>
  <si>
    <t xml:space="preserve">A Lei Geral do Esporte (Lei 14.597/2023) trata o torcedor como consumidor do evento esportivo, com direito a segurança, acessibilidade e informação.</t>
  </si>
  <si>
    <t xml:space="preserve">Lei Geral do Esporte (2023): citada sem artigo; conferir dispositivos (cambismo, violência, torcedor-consumidor, doping).</t>
  </si>
  <si>
    <t xml:space="preserve">R487</t>
  </si>
  <si>
    <t xml:space="preserve">Estádio de futebol › Aula, ponto 3</t>
  </si>
  <si>
    <t xml:space="preserve">Promover tumulto, praticar violência ou invadir o campo em eventos esportivos é crime, e o torcedor violento pode ser proibido de frequentar estádios (Lei 14.597/2023).</t>
  </si>
  <si>
    <t xml:space="preserve">Lei 14.597/2023</t>
  </si>
  <si>
    <t xml:space="preserve">R488</t>
  </si>
  <si>
    <t xml:space="preserve">Estádio de futebol › Aula, ponto 4</t>
  </si>
  <si>
    <t xml:space="preserve">Vender ingressos por preço acima do estampado no bilhete, o cambismo, é crime (Lei 14.597/2023).</t>
  </si>
  <si>
    <t xml:space="preserve">R489</t>
  </si>
  <si>
    <t xml:space="preserve">Estádio de futebol › Aula, ponto 5</t>
  </si>
  <si>
    <t xml:space="preserve">O estádio deve ter lugares acessíveis para pessoas com deficiência e acompanhantes (Lei 13.146/2015, art. 44).</t>
  </si>
  <si>
    <t xml:space="preserve">Lei 13.146/2015, art. 44</t>
  </si>
  <si>
    <t xml:space="preserve">R490</t>
  </si>
  <si>
    <t xml:space="preserve">Estádio de futebol › Aula, na prática</t>
  </si>
  <si>
    <t xml:space="preserve">Um torcedor brigou e invadiu o campo? Além de responder criminalmente, pode ser impedido de entrar em estádios por um período.</t>
  </si>
  <si>
    <t xml:space="preserve">R491</t>
  </si>
  <si>
    <t xml:space="preserve">Estádio de futebol › Prova, pergunta 1</t>
  </si>
  <si>
    <t xml:space="preserve">Vender ingresso por preço maior que o do bilhete (cambismo) é: → Resposta: Crime. Lei Geral do Esporte (Lei 14.597/2023).</t>
  </si>
  <si>
    <t xml:space="preserve">Lei Geral do Esporte (Lei 14.597/2023).</t>
  </si>
  <si>
    <t xml:space="preserve">R492</t>
  </si>
  <si>
    <t xml:space="preserve">Estádio de futebol › Prova, pergunta 2</t>
  </si>
  <si>
    <t xml:space="preserve">O torcedor, diante do organizador do jogo, é: → Resposta: Consumidor, com direito a segurança e informação. Lei 14.597/2023.</t>
  </si>
  <si>
    <t xml:space="preserve">Lei 14.597/2023.</t>
  </si>
  <si>
    <t xml:space="preserve">R493</t>
  </si>
  <si>
    <t xml:space="preserve">Estádio de futebol › Prova, pergunta 3</t>
  </si>
  <si>
    <t xml:space="preserve">O estádio deve reservar lugares para pessoas com deficiência? → Resposta: Sim, com espaço para acompanhante. Lei 13.146/2015, art. 44.</t>
  </si>
  <si>
    <t xml:space="preserve">Lei 13.146/2015, art. 44.</t>
  </si>
  <si>
    <t xml:space="preserve">R494</t>
  </si>
  <si>
    <t xml:space="preserve">Quadra de basquete › Aula</t>
  </si>
  <si>
    <t xml:space="preserve">Esporte e lazer como direitos</t>
  </si>
  <si>
    <t xml:space="preserve">Lazer e esporte são direitos sociais, e as crianças e os adolescentes têm prioridade.</t>
  </si>
  <si>
    <t xml:space="preserve">R495</t>
  </si>
  <si>
    <t xml:space="preserve">Quadra de basquete › Aula, ponto 1</t>
  </si>
  <si>
    <t xml:space="preserve">O lazer é direito social, ao lado da educação, da saúde e do trabalho (CF, art. 6º).</t>
  </si>
  <si>
    <t xml:space="preserve">CF, art. 6º</t>
  </si>
  <si>
    <t xml:space="preserve">R496</t>
  </si>
  <si>
    <t xml:space="preserve">Quadra de basquete › Aula, ponto 2</t>
  </si>
  <si>
    <t xml:space="preserve">O poder público incentivará o lazer como forma de promoção social (CF, art. 217, §3º).</t>
  </si>
  <si>
    <t xml:space="preserve">CF, art. 217, §3º</t>
  </si>
  <si>
    <t xml:space="preserve">R497</t>
  </si>
  <si>
    <t xml:space="preserve">Quadra de basquete › Aula, ponto 3</t>
  </si>
  <si>
    <t xml:space="preserve">É dever da família, da sociedade e do poder público assegurar à criança e ao adolescente, com prioridade, o direito ao esporte e ao lazer (ECA, art. 4º).</t>
  </si>
  <si>
    <t xml:space="preserve">ECA, art. 4º</t>
  </si>
  <si>
    <t xml:space="preserve">R498</t>
  </si>
  <si>
    <t xml:space="preserve">Quadra de basquete › Aula, ponto 4</t>
  </si>
  <si>
    <t xml:space="preserve">Os municípios, com apoio dos estados e da União, devem estimular espaços de cultura, esporte e lazer para a infância e a juventude (ECA, art. 59).</t>
  </si>
  <si>
    <t xml:space="preserve">ECA, art. 59</t>
  </si>
  <si>
    <t xml:space="preserve">R499</t>
  </si>
  <si>
    <t xml:space="preserve">Quadra de basquete › Aula, na prática</t>
  </si>
  <si>
    <t xml:space="preserve">O bairro não tem nenhum espaço para os jovens praticarem esporte? A comunidade pode cobrar da prefeitura: lazer é direito social e prioridade para crianças e adolescentes.</t>
  </si>
  <si>
    <t xml:space="preserve">R500</t>
  </si>
  <si>
    <t xml:space="preserve">Quadra de basquete › Prova, pergunta 1</t>
  </si>
  <si>
    <t xml:space="preserve">O lazer é: → Resposta: Um direito social previsto na Constituição. CF, art. 6º.</t>
  </si>
  <si>
    <t xml:space="preserve">CF, art. 6º.</t>
  </si>
  <si>
    <t xml:space="preserve">R501</t>
  </si>
  <si>
    <t xml:space="preserve">Quadra de basquete › Prova, pergunta 2</t>
  </si>
  <si>
    <t xml:space="preserve">Quem deve garantir esporte e lazer às crianças e aos adolescentes? → Resposta: A família, a sociedade e o poder público, com prioridade. ECA, art. 4º.</t>
  </si>
  <si>
    <t xml:space="preserve">ECA, art. 4º.</t>
  </si>
  <si>
    <t xml:space="preserve">R502</t>
  </si>
  <si>
    <t xml:space="preserve">Quadra de basquete › Prova, pergunta 3</t>
  </si>
  <si>
    <t xml:space="preserve">O que a Constituição diz que o poder público fará com o lazer? → Resposta: Incentivará, como forma de promoção social. CF, art. 217, §3º.</t>
  </si>
  <si>
    <t xml:space="preserve">CF, art. 217, §3º.</t>
  </si>
  <si>
    <t xml:space="preserve">R503</t>
  </si>
  <si>
    <t xml:space="preserve">Quadra de futsal › Aula</t>
  </si>
  <si>
    <t xml:space="preserve">Paradesporto e inclusão</t>
  </si>
  <si>
    <t xml:space="preserve">O esporte deve incluir todo mundo: pessoas com deficiência e idosos também têm direito de praticar.</t>
  </si>
  <si>
    <t xml:space="preserve">R504</t>
  </si>
  <si>
    <t xml:space="preserve">Quadra de futsal › Aula, ponto 1</t>
  </si>
  <si>
    <t xml:space="preserve">A pessoa com deficiência tem direito ao esporte e ao lazer em igualdade de oportunidades, e o poder público deve incentivar o paradesporto (Lei 13.146/2015, arts. 42 e 43).</t>
  </si>
  <si>
    <t xml:space="preserve">Lei 13.146/2015, arts. 42 e 43</t>
  </si>
  <si>
    <t xml:space="preserve">R505</t>
  </si>
  <si>
    <t xml:space="preserve">Quadra de futsal › Aula, ponto 2</t>
  </si>
  <si>
    <t xml:space="preserve">Os espaços esportivos públicos devem ser acessíveis (Lei 13.146/2015, art. 43).</t>
  </si>
  <si>
    <t xml:space="preserve">Lei 13.146/2015, art. 43</t>
  </si>
  <si>
    <t xml:space="preserve">R506</t>
  </si>
  <si>
    <t xml:space="preserve">Quadra de futsal › Aula, ponto 3</t>
  </si>
  <si>
    <t xml:space="preserve">O idoso tem direito a esporte e lazer que respeitem sua condição de idade (Estatuto da Pessoa Idosa, art. 20).</t>
  </si>
  <si>
    <t xml:space="preserve">Estatuto da Pessoa Idosa, art. 20</t>
  </si>
  <si>
    <t xml:space="preserve">R507</t>
  </si>
  <si>
    <t xml:space="preserve">Quadra de futsal › Aula, ponto 4</t>
  </si>
  <si>
    <t xml:space="preserve">Discriminar alguém por raça, cor, etnia, religião ou procedência, inclusive em ambiente esportivo, é crime de racismo (Lei 7.716/1989).</t>
  </si>
  <si>
    <t xml:space="preserve">Lei 7.716/1989</t>
  </si>
  <si>
    <t xml:space="preserve">R508</t>
  </si>
  <si>
    <t xml:space="preserve">Quadra de futsal › Aula, na prática</t>
  </si>
  <si>
    <t xml:space="preserve">Um jogador foi alvo de ofensas racistas durante a partida? É crime, inafiançável e imprescritível, e o caso deve ser levado à polícia.</t>
  </si>
  <si>
    <t xml:space="preserve">R509</t>
  </si>
  <si>
    <t xml:space="preserve">Quadra de futsal › Prova, pergunta 1</t>
  </si>
  <si>
    <t xml:space="preserve">Pessoas com deficiência têm direito de praticar esporte em quadras públicas? → Resposta: Sim, em igualdade de oportunidades e em espaços acessíveis. Lei 13.146/2015, arts. 42 e 43.</t>
  </si>
  <si>
    <t xml:space="preserve">Lei 13.146/2015, arts. 42 e 43.</t>
  </si>
  <si>
    <t xml:space="preserve">R510</t>
  </si>
  <si>
    <t xml:space="preserve">Quadra de futsal › Prova, pergunta 2</t>
  </si>
  <si>
    <t xml:space="preserve">Ofensas racistas contra um jogador são: → Resposta: Crime de racismo. Lei 7.716/1989 e CF, art. 5º, XLII.</t>
  </si>
  <si>
    <t xml:space="preserve">Lei 7.716/1989 e CF, art. 5º, XLII.</t>
  </si>
  <si>
    <t xml:space="preserve">R511</t>
  </si>
  <si>
    <t xml:space="preserve">Quadra de futsal › Prova, pergunta 3</t>
  </si>
  <si>
    <t xml:space="preserve">O idoso tem direito a esporte e lazer? → Resposta: Sim, adequados à sua condição. Estatuto da Pessoa Idosa, art. 20.</t>
  </si>
  <si>
    <t xml:space="preserve">Estatuto da Pessoa Idosa, art. 20.</t>
  </si>
  <si>
    <t xml:space="preserve">R512</t>
  </si>
  <si>
    <t xml:space="preserve">Pista de atletismo › Aula</t>
  </si>
  <si>
    <t xml:space="preserve">Esporte educacional e de rendimento</t>
  </si>
  <si>
    <t xml:space="preserve">O dinheiro público vai primeiro para o esporte nas escolas, e atletas de destaque podem receber apoio.</t>
  </si>
  <si>
    <t xml:space="preserve">R513</t>
  </si>
  <si>
    <t xml:space="preserve">Pista de atletismo › Aula, ponto 1</t>
  </si>
  <si>
    <t xml:space="preserve">A Constituição manda priorizar o dinheiro público para o desporto educacional, e só em casos específicos para o de alto rendimento (CF, art. 217, II).</t>
  </si>
  <si>
    <t xml:space="preserve">CF, art. 217, II</t>
  </si>
  <si>
    <t xml:space="preserve">R514</t>
  </si>
  <si>
    <t xml:space="preserve">Pista de atletismo › Aula, ponto 2</t>
  </si>
  <si>
    <t xml:space="preserve">O Bolsa Atleta apoia financeiramente atletas de destaque, das categorias de base às olímpicas e paralímpicas (Lei 10.891/2004).</t>
  </si>
  <si>
    <t xml:space="preserve">Lei 10.891/2004</t>
  </si>
  <si>
    <t xml:space="preserve">R515</t>
  </si>
  <si>
    <t xml:space="preserve">Pista de atletismo › Aula, ponto 3</t>
  </si>
  <si>
    <t xml:space="preserve">O doping é proibido e combatido pela autoridade brasileira de controle de dopagem (Lei 14.597/2023).</t>
  </si>
  <si>
    <t xml:space="preserve">R516</t>
  </si>
  <si>
    <t xml:space="preserve">Pista de atletismo › Aula, na prática</t>
  </si>
  <si>
    <t xml:space="preserve">Uma jovem da cidade venceu o campeonato estadual dos 100 metros? Ela pode pedir o Bolsa Atleta, se cumprir os requisitos.</t>
  </si>
  <si>
    <t xml:space="preserve">R517</t>
  </si>
  <si>
    <t xml:space="preserve">Pista de atletismo › Prova, pergunta 1</t>
  </si>
  <si>
    <t xml:space="preserve">Pela Constituição, o dinheiro público para o esporte vai prioritariamente para: → Resposta: O desporto educacional. CF, art. 217, II.</t>
  </si>
  <si>
    <t xml:space="preserve">CF, art. 217, II.</t>
  </si>
  <si>
    <t xml:space="preserve">R518</t>
  </si>
  <si>
    <t xml:space="preserve">Pista de atletismo › Prova, pergunta 2</t>
  </si>
  <si>
    <t xml:space="preserve">O que é o Bolsa Atleta? → Resposta: Um apoio financeiro a atletas de destaque. Lei 10.891/2004.</t>
  </si>
  <si>
    <t xml:space="preserve">Lei 10.891/2004.</t>
  </si>
  <si>
    <t xml:space="preserve">R519</t>
  </si>
  <si>
    <t xml:space="preserve">Pista de atletismo › Prova, pergunta 3</t>
  </si>
  <si>
    <t xml:space="preserve">Usar substância proibida para melhorar o desempenho: → Resposta: É dopagem, proibida e punida. Lei Geral do Esporte (Lei 14.597/2023).</t>
  </si>
  <si>
    <t xml:space="preserve">R520</t>
  </si>
  <si>
    <t xml:space="preserve">Academia ao ar livre › Descrição</t>
  </si>
  <si>
    <t xml:space="preserve">Enfeite</t>
  </si>
  <si>
    <t xml:space="preserve">Aparelhos de ginástica numa pracinha, muito usados por idosos (Estatuto da Pessoa Idosa, art. 20).</t>
  </si>
  <si>
    <t xml:space="preserve">R521</t>
  </si>
  <si>
    <t xml:space="preserve">Lavoura › Aula</t>
  </si>
  <si>
    <t xml:space="preserve">Direito Agrário</t>
  </si>
  <si>
    <t xml:space="preserve">A terra rural também tem função social: precisa produzir, respeitar o meio ambiente e as leis trabalhistas.</t>
  </si>
  <si>
    <t xml:space="preserve">R522</t>
  </si>
  <si>
    <t xml:space="preserve">Lavoura › Aula, ponto 1</t>
  </si>
  <si>
    <t xml:space="preserve">A propriedade rural cumpre a função social quando tem aproveitamento racional, preserva o meio ambiente, respeita as leis trabalhistas e favorece o bem-estar de donos e trabalhadores (CF, art. 186).</t>
  </si>
  <si>
    <t xml:space="preserve">CF, art. 186</t>
  </si>
  <si>
    <t xml:space="preserve">R523</t>
  </si>
  <si>
    <t xml:space="preserve">Lavoura › Aula, ponto 2</t>
  </si>
  <si>
    <t xml:space="preserve">O imóvel rural que não cumpre a função social pode ser desapropriado pela União para reforma agrária, com indenização em títulos da dívida agrária (CF, art. 184).</t>
  </si>
  <si>
    <t xml:space="preserve">CF, art. 184</t>
  </si>
  <si>
    <t xml:space="preserve">R524</t>
  </si>
  <si>
    <t xml:space="preserve">Lavoura › Aula, ponto 3</t>
  </si>
  <si>
    <t xml:space="preserve">A pequena propriedade rural trabalhada pela família não pode ser penhorada para pagar dívidas da sua atividade produtiva (CF, art. 5º, XXVI).</t>
  </si>
  <si>
    <t xml:space="preserve">CF, art. 5º, XXVI</t>
  </si>
  <si>
    <t xml:space="preserve">R525</t>
  </si>
  <si>
    <t xml:space="preserve">Lavoura › Aula, ponto 4</t>
  </si>
  <si>
    <t xml:space="preserve">O uso de agrotóxicos tem regras próprias, como o receituário agronômico e a devolução das embalagens vazias (Lei 14.785/2023).</t>
  </si>
  <si>
    <t xml:space="preserve">Lei 14.785/2023</t>
  </si>
  <si>
    <t xml:space="preserve">Nova Lei de Agrotóxicos (2023): conferir dispositivos sobre receituário e embalagens.</t>
  </si>
  <si>
    <t xml:space="preserve">R526</t>
  </si>
  <si>
    <t xml:space="preserve">Lavoura › Aula, na prática</t>
  </si>
  <si>
    <t xml:space="preserve">O banco quer penhorar o sítio de 3 hectares onde a família planta e vive, por causa do empréstimo das sementes? A pequena propriedade rural trabalhada pela família é impenhorável.</t>
  </si>
  <si>
    <t xml:space="preserve">R527</t>
  </si>
  <si>
    <t xml:space="preserve">Lavoura › Prova, pergunta 1</t>
  </si>
  <si>
    <t xml:space="preserve">Quando a propriedade rural cumpre sua função social? → Resposta: Quando produz de forma racional, preserva o ambiente e respeita as leis trabalhistas. Os requisitos estão no art. 186 da Constituição e precisam ser cumpridos ao mesmo tempo.</t>
  </si>
  <si>
    <t xml:space="preserve">Os requisitos estão no art. 186 da Constituição e precisam ser cumpridos ao mesmo tempo.</t>
  </si>
  <si>
    <t xml:space="preserve">R528</t>
  </si>
  <si>
    <t xml:space="preserve">Lavoura › Prova, pergunta 2</t>
  </si>
  <si>
    <t xml:space="preserve">Quem pode desapropriar imóvel rural improdutivo para reforma agrária? → Resposta: A União. Compete à União desapropriar por interesse social, para reforma agrária, o imóvel rural que não cumpre sua função social (CF, art. 184).</t>
  </si>
  <si>
    <t xml:space="preserve">Compete à União desapropriar por interesse social, para reforma agrária, o imóvel rural que não cumpre sua função social (CF, art. 184).</t>
  </si>
  <si>
    <t xml:space="preserve">R529</t>
  </si>
  <si>
    <t xml:space="preserve">Lavoura › Prova, pergunta 3</t>
  </si>
  <si>
    <t xml:space="preserve">A pequena propriedade rural trabalhada pela família pode ser penhorada por dívidas da sua atividade produtiva? → Resposta: Não, é impenhorável. CF, art. 5º, XXVI: a pequena propriedade rural trabalhada pela família não será objeto de penhora para pagamento de débitos decorrentes de sua atividade produtiva.</t>
  </si>
  <si>
    <t xml:space="preserve">CF, art. 5º, XXVI: a pequena propriedade rural trabalhada pela família não será objeto de penhora para pagamento de débitos decorrentes de sua atividade produtiva.</t>
  </si>
  <si>
    <t xml:space="preserve">R530</t>
  </si>
  <si>
    <t xml:space="preserve">Fazenda de gado › Aula</t>
  </si>
  <si>
    <t xml:space="preserve">Direito Ambiental Rural</t>
  </si>
  <si>
    <t xml:space="preserve">Quem produz no campo deve conservar parte da vegetação nativa e tratar bem os animais.</t>
  </si>
  <si>
    <t xml:space="preserve">R531</t>
  </si>
  <si>
    <t xml:space="preserve">Fazenda de gado › Aula, ponto 1</t>
  </si>
  <si>
    <t xml:space="preserve">Todo imóvel rural deve manter uma Reserva Legal com vegetação nativa: em regra, 20% da área fora da Amazônia Legal (Código Florestal, Lei 12.651/2012, art. 12).</t>
  </si>
  <si>
    <t xml:space="preserve">Código Florestal, Lei 12.651/2012, art. 12</t>
  </si>
  <si>
    <t xml:space="preserve">R532</t>
  </si>
  <si>
    <t xml:space="preserve">Fazenda de gado › Aula, ponto 2</t>
  </si>
  <si>
    <t xml:space="preserve">Nascentes e margens de rios são Áreas de Preservação Permanente, que não podem ser desmatadas (Código Florestal, art. 4º).</t>
  </si>
  <si>
    <t xml:space="preserve">Código Florestal, art. 4º</t>
  </si>
  <si>
    <t xml:space="preserve">R533</t>
  </si>
  <si>
    <t xml:space="preserve">Fazenda de gado › Aula, ponto 3</t>
  </si>
  <si>
    <t xml:space="preserve">O imóvel precisa estar no Cadastro Ambiental Rural (CAR), registro eletrônico obrigatório para todos os imóveis rurais (Código Florestal, art. 29).</t>
  </si>
  <si>
    <t xml:space="preserve">Código Florestal, art. 29</t>
  </si>
  <si>
    <t xml:space="preserve">R534</t>
  </si>
  <si>
    <t xml:space="preserve">Fazenda de gado › Aula, ponto 4</t>
  </si>
  <si>
    <t xml:space="preserve">Maltratar animais domésticos ou domesticados é crime ambiental (Lei 9.605/1998, art. 32).</t>
  </si>
  <si>
    <t xml:space="preserve">Lei 9.605/1998, art. 32</t>
  </si>
  <si>
    <t xml:space="preserve">R535</t>
  </si>
  <si>
    <t xml:space="preserve">Fazenda de gado › Aula, na prática</t>
  </si>
  <si>
    <t xml:space="preserve">O fazendeiro quer derrubar toda a mata da fazenda (fora da Amazônia) para ampliar o pasto? Não pode: precisa manter pelo menos 20% como Reserva Legal, além das APPs.</t>
  </si>
  <si>
    <t xml:space="preserve">R536</t>
  </si>
  <si>
    <t xml:space="preserve">Fazenda de gado › Prova, pergunta 1</t>
  </si>
  <si>
    <t xml:space="preserve">Fora da Amazônia Legal, qual é a Reserva Legal mínima, em regra? → Resposta: 20%. Código Florestal, art. 12, II: 20% nas demais regiões do país. Na Amazônia Legal, o percentual é maior.</t>
  </si>
  <si>
    <t xml:space="preserve">Código Florestal, art. 12, II: 20% nas demais regiões do país. Na Amazônia Legal, o percentual é maior.</t>
  </si>
  <si>
    <t xml:space="preserve">R537</t>
  </si>
  <si>
    <t xml:space="preserve">Fazenda de gado › Prova, pergunta 2</t>
  </si>
  <si>
    <t xml:space="preserve">O que é o CAR? → Resposta: O Cadastro Ambiental Rural, obrigatório para imóveis rurais. O Cadastro Ambiental Rural reúne as informações ambientais dos imóveis rurais (Lei 12.651/2012, art. 29).</t>
  </si>
  <si>
    <t xml:space="preserve">O Cadastro Ambiental Rural reúne as informações ambientais dos imóveis rurais (Lei 12.651/2012, art. 29).</t>
  </si>
  <si>
    <t xml:space="preserve">R538</t>
  </si>
  <si>
    <t xml:space="preserve">Fazenda de gado › Prova, pergunta 3</t>
  </si>
  <si>
    <t xml:space="preserve">Maltratar animais é: → Resposta: Crime ambiental. Lei 9.605/1998, art. 32: praticar ato de abuso ou maus-tratos a animais é crime.</t>
  </si>
  <si>
    <t xml:space="preserve">Lei 9.605/1998, art. 32: praticar ato de abuso ou maus-tratos a animais é crime.</t>
  </si>
  <si>
    <t xml:space="preserve">R539</t>
  </si>
  <si>
    <t xml:space="preserve">Cooperativa agrícola › Aula</t>
  </si>
  <si>
    <t xml:space="preserve">Agricultura Familiar e Cooperativas</t>
  </si>
  <si>
    <t xml:space="preserve">Juntos, os pequenos produtores ganham força para vender e comprar melhor.</t>
  </si>
  <si>
    <t xml:space="preserve">R540</t>
  </si>
  <si>
    <t xml:space="preserve">Cooperativa agrícola › Aula, ponto 1</t>
  </si>
  <si>
    <t xml:space="preserve">A cooperativa é uma sociedade de pessoas que se unem para uma atividade econômica de proveito comum, sem objetivo de lucro (Lei 5.764/1971, arts. 3º e 4º).</t>
  </si>
  <si>
    <t xml:space="preserve">Lei 5.764/1971, arts. 3º e 4º</t>
  </si>
  <si>
    <t xml:space="preserve">R541</t>
  </si>
  <si>
    <t xml:space="preserve">Cooperativa agrícola › Aula, ponto 2</t>
  </si>
  <si>
    <t xml:space="preserve">É agricultor familiar quem tem área de até 4 módulos fiscais e usa principalmente a mão de obra da própria família (Lei 11.326/2006, art. 3º).</t>
  </si>
  <si>
    <t xml:space="preserve">Lei 11.326/2006, art. 3º</t>
  </si>
  <si>
    <t xml:space="preserve">R542</t>
  </si>
  <si>
    <t xml:space="preserve">Cooperativa agrícola › Aula, ponto 3</t>
  </si>
  <si>
    <t xml:space="preserve">Pelo menos 30% do dinheiro federal da merenda escolar (PNAE) deve comprar alimentos da agricultura familiar (Lei 11.947/2009, art. 14).</t>
  </si>
  <si>
    <t xml:space="preserve">Lei 11.947/2009, art. 14</t>
  </si>
  <si>
    <t xml:space="preserve">R543</t>
  </si>
  <si>
    <t xml:space="preserve">Cooperativa agrícola › Aula, na prática</t>
  </si>
  <si>
    <t xml:space="preserve">A escola municipal quer comprar verduras da cooperativa da cidade para a merenda? Pode e deve: ao menos 30% da verba do PNAE vai para a agricultura familiar.</t>
  </si>
  <si>
    <t xml:space="preserve">R544</t>
  </si>
  <si>
    <t xml:space="preserve">Cooperativa agrícola › Prova, pergunta 1</t>
  </si>
  <si>
    <t xml:space="preserve">No mínimo, quanto da verba federal da merenda escolar vai para a agricultura familiar? → Resposta: 30%. Lei 11.947/2009, art. 14: no mínimo 30% dos recursos do PNAE.</t>
  </si>
  <si>
    <t xml:space="preserve">Lei 11.947/2009, art. 14: no mínimo 30% dos recursos do PNAE.</t>
  </si>
  <si>
    <t xml:space="preserve">R545</t>
  </si>
  <si>
    <t xml:space="preserve">Cooperativa agrícola › Prova, pergunta 2</t>
  </si>
  <si>
    <t xml:space="preserve">Quem é agricultor familiar, pela Lei 11.326/2006? → Resposta: Quem tem até 4 módulos fiscais e usa principalmente a mão de obra da família. Os requisitos estão no art. 3º da Lei 11.326/2006.</t>
  </si>
  <si>
    <t xml:space="preserve">Os requisitos estão no art. 3º da Lei 11.326/2006.</t>
  </si>
  <si>
    <t xml:space="preserve">R546</t>
  </si>
  <si>
    <t xml:space="preserve">Cooperativa agrícola › Prova, pergunta 3</t>
  </si>
  <si>
    <t xml:space="preserve">Uma cooperativa é: → Resposta: Uma sociedade de pessoas que se unem para uma atividade econômica comum. Lei 5.764/1971, arts. 3º e 4º.</t>
  </si>
  <si>
    <t xml:space="preserve">Lei 5.764/1971, arts. 3º e 4º.</t>
  </si>
  <si>
    <t xml:space="preserve">R547</t>
  </si>
  <si>
    <t xml:space="preserve">Centro logístico › Aula</t>
  </si>
  <si>
    <t xml:space="preserve">Transporte de Cargas</t>
  </si>
  <si>
    <t xml:space="preserve">Caminhões levam a produção da cidade, e o motorista tem regras de descanso para a segurança de todos.</t>
  </si>
  <si>
    <t xml:space="preserve">R548</t>
  </si>
  <si>
    <t xml:space="preserve">Centro logístico › Aula, ponto 1</t>
  </si>
  <si>
    <t xml:space="preserve">O motorista profissional não pode dirigir mais de 5 horas e meia seguidas e deve descansar 30 minutos a cada 6 horas ao volante (CTB, art. 67-C).</t>
  </si>
  <si>
    <t xml:space="preserve">CTB, art. 67-C</t>
  </si>
  <si>
    <t xml:space="preserve">R549</t>
  </si>
  <si>
    <t xml:space="preserve">Centro logístico › Aula, ponto 2</t>
  </si>
  <si>
    <t xml:space="preserve">Entre uma jornada e outra, o motorista empregado tem direito a 11 horas de descanso (CLT, art. 235-C, §3º).</t>
  </si>
  <si>
    <t xml:space="preserve">CLT, art. 235-C, §3º</t>
  </si>
  <si>
    <t xml:space="preserve">R550</t>
  </si>
  <si>
    <t xml:space="preserve">Centro logístico › Aula, ponto 3</t>
  </si>
  <si>
    <t xml:space="preserve">O transporte rodoviário de cargas é regulado e fiscalizado pela ANTT (Lei 10.233/2001).</t>
  </si>
  <si>
    <t xml:space="preserve">Lei 10.233/2001</t>
  </si>
  <si>
    <t xml:space="preserve">R551</t>
  </si>
  <si>
    <t xml:space="preserve">Centro logístico › Aula, ponto 4</t>
  </si>
  <si>
    <t xml:space="preserve">Transitar com excesso de peso é infração de trânsito e estraga as estradas (CTB, art. 231, V).</t>
  </si>
  <si>
    <t xml:space="preserve">CTB, art. 231, V</t>
  </si>
  <si>
    <t xml:space="preserve">R552</t>
  </si>
  <si>
    <t xml:space="preserve">Centro logístico › Aula, na prática</t>
  </si>
  <si>
    <t xml:space="preserve">A empresa exige que o motorista dirija 10 horas seguidas para entregar mais rápido? Não pode: dirigir cansado põe vidas em risco, e a lei obriga as pausas.</t>
  </si>
  <si>
    <t xml:space="preserve">R553</t>
  </si>
  <si>
    <t xml:space="preserve">Centro logístico › Prova, pergunta 1</t>
  </si>
  <si>
    <t xml:space="preserve">Quanto tempo de descanso o motorista empregado tem entre duas jornadas? → Resposta: 11 horas. CLT, art. 235-C, §3º: 11 horas a cada 24 horas.</t>
  </si>
  <si>
    <t xml:space="preserve">CLT, art. 235-C, §3º: 11 horas a cada 24 horas.</t>
  </si>
  <si>
    <t xml:space="preserve">R554</t>
  </si>
  <si>
    <t xml:space="preserve">Centro logístico › Prova, pergunta 2</t>
  </si>
  <si>
    <t xml:space="preserve">Qual agência regula o transporte rodoviário de cargas? → Resposta: ANTT. A Agência Nacional de Transportes Terrestres (Lei 10.233/2001).</t>
  </si>
  <si>
    <t xml:space="preserve">R555</t>
  </si>
  <si>
    <t xml:space="preserve">Centro logístico › Prova, pergunta 3</t>
  </si>
  <si>
    <t xml:space="preserve">Caminhão com excesso de peso: → Resposta: Comete infração de trânsito. CTB, art. 231, V.</t>
  </si>
  <si>
    <t xml:space="preserve">CTB, art. 231, V.</t>
  </si>
  <si>
    <t xml:space="preserve">R556</t>
  </si>
  <si>
    <t xml:space="preserve">Indústria pesada › Aula</t>
  </si>
  <si>
    <t xml:space="preserve">Responsabilidade Ambiental</t>
  </si>
  <si>
    <t xml:space="preserve">Quem polui paga: a empresa responde pelos danos ambientais mesmo sem culpa.</t>
  </si>
  <si>
    <t xml:space="preserve">R557</t>
  </si>
  <si>
    <t xml:space="preserve">Indústria pesada › Aula, ponto 1</t>
  </si>
  <si>
    <t xml:space="preserve">A responsabilidade por dano ambiental é objetiva: o poluidor deve reparar o dano mesmo sem ter tido culpa (Lei 6.938/1981, art. 14, §1º).</t>
  </si>
  <si>
    <t xml:space="preserve">R558</t>
  </si>
  <si>
    <t xml:space="preserve">Indústria pesada › Aula, ponto 2</t>
  </si>
  <si>
    <t xml:space="preserve">Empresas também podem ser punidas por crimes ambientais, com multa, suspensão das atividades ou prestação de serviços à comunidade (CF, art. 225, §3º; Lei 9.605/1998, arts. 3º e 21).</t>
  </si>
  <si>
    <t xml:space="preserve">CF, art. 225, §3º; Lei 9.605/1998, arts. 3º e 21</t>
  </si>
  <si>
    <t xml:space="preserve">R559</t>
  </si>
  <si>
    <t xml:space="preserve">Indústria pesada › Aula, ponto 3</t>
  </si>
  <si>
    <t xml:space="preserve">O pedido de reparação de dano ambiental não prescreve (STF, Tema 999).</t>
  </si>
  <si>
    <t xml:space="preserve">STF, Tema 999</t>
  </si>
  <si>
    <t xml:space="preserve">Tese de tribunal superior: conferir a tese fixada.</t>
  </si>
  <si>
    <t xml:space="preserve">R560</t>
  </si>
  <si>
    <t xml:space="preserve">Indústria pesada › Aula, ponto 4</t>
  </si>
  <si>
    <t xml:space="preserve">Atividades poluidoras precisam de licença ambiental antes de se instalar e funcionar (Lei 6.938/1981, art. 10).</t>
  </si>
  <si>
    <t xml:space="preserve">Lei 6.938/1981, art. 10</t>
  </si>
  <si>
    <t xml:space="preserve">R561</t>
  </si>
  <si>
    <t xml:space="preserve">Indústria pesada › Aula, na prática</t>
  </si>
  <si>
    <t xml:space="preserve">A indústria jogou resíduos no rio por causa de um vazamento acidental? Mesmo sem culpa, ela tem de limpar e indenizar: a responsabilidade ambiental é objetiva.</t>
  </si>
  <si>
    <t xml:space="preserve">R562</t>
  </si>
  <si>
    <t xml:space="preserve">Indústria pesada › Prova, pergunta 1</t>
  </si>
  <si>
    <t xml:space="preserve">A empresa que poluiu sem culpa precisa reparar o dano? → Resposta: Sim, a responsabilidade ambiental é objetiva. Lei 6.938/1981, art. 14, §1º.</t>
  </si>
  <si>
    <t xml:space="preserve">Lei 6.938/1981, art. 14, §1º.</t>
  </si>
  <si>
    <t xml:space="preserve">R563</t>
  </si>
  <si>
    <t xml:space="preserve">Indústria pesada › Prova, pergunta 2</t>
  </si>
  <si>
    <t xml:space="preserve">Uma empresa pode ser punida por crime ambiental? → Resposta: Sim, a Constituição e a Lei 9.605/1998 permitem. CF, art. 225, §3º, e Lei 9.605/1998, art. 3º.</t>
  </si>
  <si>
    <t xml:space="preserve">CF, art. 225, §3º, e Lei 9.605/1998, art. 3º.</t>
  </si>
  <si>
    <t xml:space="preserve">R564</t>
  </si>
  <si>
    <t xml:space="preserve">Indústria pesada › Prova, pergunta 3</t>
  </si>
  <si>
    <t xml:space="preserve">Em quanto tempo prescreve o pedido de reparação de dano ambiental? → Resposta: Não prescreve. O STF fixou que é imprescritível a pretensão de reparação civil de dano ambiental (Tema 999).</t>
  </si>
  <si>
    <t xml:space="preserve">O STF fixou que é imprescritível a pretensão de reparação civil de dano ambiental (Tema 999).</t>
  </si>
  <si>
    <t xml:space="preserve">R565</t>
  </si>
  <si>
    <t xml:space="preserve">Aterro sanitário › Aula</t>
  </si>
  <si>
    <t xml:space="preserve">Lixo tem destino certo: aterro sanitário controlado, reciclagem e inclusão dos catadores.</t>
  </si>
  <si>
    <t xml:space="preserve">R566</t>
  </si>
  <si>
    <t xml:space="preserve">Aterro sanitário › Aula, ponto 1</t>
  </si>
  <si>
    <t xml:space="preserve">A Política Nacional de Resíduos Sólidos proíbe lançar lixo a céu aberto, nos lixões, e queimá-lo ao ar livre (Lei 12.305/2010, art. 47).</t>
  </si>
  <si>
    <t xml:space="preserve">Lei 12.305/2010, art. 47</t>
  </si>
  <si>
    <t xml:space="preserve">R567</t>
  </si>
  <si>
    <t xml:space="preserve">Aterro sanitário › Aula, ponto 2</t>
  </si>
  <si>
    <t xml:space="preserve">Primeiro vem não gerar, reduzir, reutilizar e reciclar; só os rejeitos devem ir para o aterro sanitário (Lei 12.305/2010, art. 9º).</t>
  </si>
  <si>
    <t xml:space="preserve">Lei 12.305/2010, art. 9º</t>
  </si>
  <si>
    <t xml:space="preserve">R568</t>
  </si>
  <si>
    <t xml:space="preserve">Aterro sanitário › Aula, ponto 3</t>
  </si>
  <si>
    <t xml:space="preserve">O Novo Marco do Saneamento deu prazos, de 2021 a 2024 conforme o tamanho da cidade, para os municípios acabarem com os lixões (Lei 14.026/2020, que mudou o art. 54 da Lei 12.305/2010).</t>
  </si>
  <si>
    <t xml:space="preserve">Lei 14.026/2020, que mudou o art. 54 da Lei 12.305/2010</t>
  </si>
  <si>
    <t xml:space="preserve">R569</t>
  </si>
  <si>
    <t xml:space="preserve">Aterro sanitário › Aula, ponto 4</t>
  </si>
  <si>
    <t xml:space="preserve">Na coleta seletiva, o município deve priorizar as cooperativas de catadores (Lei 12.305/2010, art. 36, §1º).</t>
  </si>
  <si>
    <t xml:space="preserve">Lei 12.305/2010, art. 36, §1º</t>
  </si>
  <si>
    <t xml:space="preserve">R570</t>
  </si>
  <si>
    <t xml:space="preserve">Aterro sanitário › Aula, na prática</t>
  </si>
  <si>
    <t xml:space="preserve">A prefeitura quer economizar despejando o lixo num terreno baldio afastado? Não pode: lixão é proibido, e o lixo vai para aterro sanitário licenciado.</t>
  </si>
  <si>
    <t xml:space="preserve">R571</t>
  </si>
  <si>
    <t xml:space="preserve">Aterro sanitário › Prova, pergunta 1</t>
  </si>
  <si>
    <t xml:space="preserve">Lixões a céu aberto são: → Resposta: Proibidos pela Política Nacional de Resíduos Sólidos. Lei 12.305/2010, art. 47, II.</t>
  </si>
  <si>
    <t xml:space="preserve">Lei 12.305/2010, art. 47, II.</t>
  </si>
  <si>
    <t xml:space="preserve">R572</t>
  </si>
  <si>
    <t xml:space="preserve">Aterro sanitário › Prova, pergunta 2</t>
  </si>
  <si>
    <t xml:space="preserve">O que deve ir para o aterro sanitário? → Resposta: Só os rejeitos, que não podem ser reciclados nem reaproveitados. Lei 12.305/2010, arts. 3º, VIII, e 9º.</t>
  </si>
  <si>
    <t xml:space="preserve">Lei 12.305/2010, arts. 3º, VIII, e 9º.</t>
  </si>
  <si>
    <t xml:space="preserve">R573</t>
  </si>
  <si>
    <t xml:space="preserve">Aterro sanitário › Prova, pergunta 3</t>
  </si>
  <si>
    <t xml:space="preserve">Na coleta seletiva, a prefeitura deve priorizar: → Resposta: Cooperativas de catadores. Lei 12.305/2010, art. 36, §1º.</t>
  </si>
  <si>
    <t xml:space="preserve">Lei 12.305/2010, art. 36, §1º.</t>
  </si>
  <si>
    <t xml:space="preserve">R574</t>
  </si>
  <si>
    <t xml:space="preserve">Ponto de táxi › Aula</t>
  </si>
  <si>
    <t xml:space="preserve">Mobilidade Urbana</t>
  </si>
  <si>
    <t xml:space="preserve">Táxi e carro de aplicativo são transporte individual de passageiros, organizado pelo Município.</t>
  </si>
  <si>
    <t xml:space="preserve">R575</t>
  </si>
  <si>
    <t xml:space="preserve">Ponto de táxi › Aula, ponto 1</t>
  </si>
  <si>
    <t xml:space="preserve">A Política Nacional de Mobilidade Urbana dá prioridade a pedestres, ciclistas e transporte coletivo sobre o transporte individual motorizado (Lei 12.587/2012, art. 6º, II).</t>
  </si>
  <si>
    <t xml:space="preserve">R576</t>
  </si>
  <si>
    <t xml:space="preserve">Ponto de táxi › Aula, ponto 2</t>
  </si>
  <si>
    <t xml:space="preserve">O serviço de táxi é de utilidade pública, organizado e fiscalizado pelo Município (Lei 12.587/2012, arts. 12 e 12-A).</t>
  </si>
  <si>
    <t xml:space="preserve">Lei 12.587/2012, arts. 12 e 12-A</t>
  </si>
  <si>
    <t xml:space="preserve">R577</t>
  </si>
  <si>
    <t xml:space="preserve">Ponto de táxi › Aula, ponto 3</t>
  </si>
  <si>
    <t xml:space="preserve">A profissão de taxista é regulamentada pela Lei 12.468/2011.</t>
  </si>
  <si>
    <t xml:space="preserve">R578</t>
  </si>
  <si>
    <t xml:space="preserve">Ponto de táxi › Aula, ponto 4</t>
  </si>
  <si>
    <t xml:space="preserve">O Município pode regulamentar e fiscalizar os aplicativos de transporte, mas não pode proibi-los (Lei 13.640/2018; STF, ADPF 449).</t>
  </si>
  <si>
    <t xml:space="preserve">Lei 13.640/2018; STF, ADPF 449</t>
  </si>
  <si>
    <t xml:space="preserve">R579</t>
  </si>
  <si>
    <t xml:space="preserve">Ponto de táxi › Aula, na prática</t>
  </si>
  <si>
    <t xml:space="preserve">A Câmara quer aprovar uma lei proibindo carros de aplicativo na cidade? Seria inconstitucional: o Município pode regulamentar, mas não proibir.</t>
  </si>
  <si>
    <t xml:space="preserve">R580</t>
  </si>
  <si>
    <t xml:space="preserve">Ponto de táxi › Prova, pergunta 1</t>
  </si>
  <si>
    <t xml:space="preserve">Quem organiza e fiscaliza o serviço de táxi da cidade? → Resposta: O Município. Lei 12.587/2012, art. 12.</t>
  </si>
  <si>
    <t xml:space="preserve">Lei 12.587/2012, art. 12.</t>
  </si>
  <si>
    <t xml:space="preserve">R581</t>
  </si>
  <si>
    <t xml:space="preserve">Ponto de táxi › Prova, pergunta 2</t>
  </si>
  <si>
    <t xml:space="preserve">O Município pode proibir carros de aplicativo? → Resposta: Não; pode regulamentar e fiscalizar, mas não proibir. O STF julgou inconstitucional a proibição (ADPF 449), e a Lei 13.640/2018 deu aos municípios o poder de regulamentar.</t>
  </si>
  <si>
    <t xml:space="preserve">O STF julgou inconstitucional a proibição (ADPF 449), e a Lei 13.640/2018 deu aos municípios o poder de regulamentar.</t>
  </si>
  <si>
    <t xml:space="preserve">R582</t>
  </si>
  <si>
    <t xml:space="preserve">Ponto de táxi › Prova, pergunta 3</t>
  </si>
  <si>
    <t xml:space="preserve">Pela Política de Mobilidade Urbana, tem prioridade: → Resposta: Quem anda a pé, de bicicleta ou de transporte coletivo. Lei 12.587/2012, art. 6º, II.</t>
  </si>
  <si>
    <t xml:space="preserve">Lei 12.587/2012, art. 6º, II.</t>
  </si>
  <si>
    <t xml:space="preserve">R583</t>
  </si>
  <si>
    <t xml:space="preserve">Estacionamento › Aula</t>
  </si>
  <si>
    <t xml:space="preserve">Responsabilidade Civil</t>
  </si>
  <si>
    <t xml:space="preserve">Quem guarda o carro do cliente responde por danos e furtos, mesmo com placa dizendo o contrário.</t>
  </si>
  <si>
    <t xml:space="preserve">R584</t>
  </si>
  <si>
    <t xml:space="preserve">Estacionamento › Aula, ponto 1</t>
  </si>
  <si>
    <t xml:space="preserve">A empresa responde pelo dano ou furto de veículo ocorrido em seu estacionamento (Súmula 130 do STJ).</t>
  </si>
  <si>
    <t xml:space="preserve">R585</t>
  </si>
  <si>
    <t xml:space="preserve">Estacionamento › Aula, ponto 2</t>
  </si>
  <si>
    <t xml:space="preserve">A placa "não nos responsabilizamos" não afasta o dever de indenizar: cláusula que exonera o fornecedor é nula (CDC, arts. 25 e 51, I).</t>
  </si>
  <si>
    <t xml:space="preserve">CDC, arts. 25 e 51, I</t>
  </si>
  <si>
    <t xml:space="preserve">R586</t>
  </si>
  <si>
    <t xml:space="preserve">Estacionamento › Aula, ponto 3</t>
  </si>
  <si>
    <t xml:space="preserve">Estacionamentos devem reservar 5% das vagas a idosos e 2% a pessoas com deficiência (Lei 10.741/2003, art. 41; Lei 13.146/2015, art. 47).</t>
  </si>
  <si>
    <t xml:space="preserve">Lei 10.741/2003, art. 41; Lei 13.146/2015, art. 47</t>
  </si>
  <si>
    <t xml:space="preserve">R587</t>
  </si>
  <si>
    <t xml:space="preserve">Estacionamento › Aula, na prática</t>
  </si>
  <si>
    <t xml:space="preserve">O carro foi arranhado no estacionamento do shopping, que tem placa "não nos responsabilizamos"? O shopping responde mesmo assim.</t>
  </si>
  <si>
    <t xml:space="preserve">R588</t>
  </si>
  <si>
    <t xml:space="preserve">Estacionamento › Prova, pergunta 1</t>
  </si>
  <si>
    <t xml:space="preserve">O carro foi furtado no estacionamento do supermercado. Quem responde? → Resposta: O supermercado. Súmula 130 do STJ.</t>
  </si>
  <si>
    <t xml:space="preserve">R589</t>
  </si>
  <si>
    <t xml:space="preserve">Estacionamento › Prova, pergunta 2</t>
  </si>
  <si>
    <t xml:space="preserve">A placa "não nos responsabilizamos" tem valor? → Resposta: Não, a cláusula que afasta a responsabilidade é nula. CDC, arts. 25 e 51, I.</t>
  </si>
  <si>
    <t xml:space="preserve">CDC, arts. 25 e 51, I.</t>
  </si>
  <si>
    <t xml:space="preserve">R590</t>
  </si>
  <si>
    <t xml:space="preserve">Estacionamento › Prova, pergunta 3</t>
  </si>
  <si>
    <t xml:space="preserve">Qual percentual das vagas é reservado a idosos? → Resposta: 5%. Estatuto da Pessoa Idosa, art. 41.</t>
  </si>
  <si>
    <t xml:space="preserve">Estatuto da Pessoa Idosa, art. 41.</t>
  </si>
  <si>
    <t xml:space="preserve">R591</t>
  </si>
  <si>
    <t xml:space="preserve">Posto de combustível › Aula</t>
  </si>
  <si>
    <t xml:space="preserve">Consumidor e Ordem Econômica</t>
  </si>
  <si>
    <t xml:space="preserve">Combustível tem padrão de qualidade fiscalizado, e o posto responde pelo que vende.</t>
  </si>
  <si>
    <t xml:space="preserve">R592</t>
  </si>
  <si>
    <t xml:space="preserve">Posto de combustível › Aula, ponto 1</t>
  </si>
  <si>
    <t xml:space="preserve">A ANP regula e fiscaliza a venda de combustíveis (Lei 9.478/1997, art. 8º).</t>
  </si>
  <si>
    <t xml:space="preserve">Lei 9.478/1997, art. 8º</t>
  </si>
  <si>
    <t xml:space="preserve">R593</t>
  </si>
  <si>
    <t xml:space="preserve">Posto de combustível › Aula, ponto 2</t>
  </si>
  <si>
    <t xml:space="preserve">Vender combustível adulterado ou fora das especificações é crime contra a ordem econômica (Lei 8.176/1991, art. 1º).</t>
  </si>
  <si>
    <t xml:space="preserve">Lei 8.176/1991, art. 1º</t>
  </si>
  <si>
    <t xml:space="preserve">R594</t>
  </si>
  <si>
    <t xml:space="preserve">Posto de combustível › Aula, ponto 3</t>
  </si>
  <si>
    <t xml:space="preserve">O consumidor prejudicado por combustível adulterado pode exigir o conserto do carro: o posto responde pelo vício do produto (CDC, art. 18).</t>
  </si>
  <si>
    <t xml:space="preserve">CDC, art. 18</t>
  </si>
  <si>
    <t xml:space="preserve">R595</t>
  </si>
  <si>
    <t xml:space="preserve">Posto de combustível › Aula, ponto 4</t>
  </si>
  <si>
    <t xml:space="preserve">Combinar preços entre postos para prejudicar a concorrência é cartel, punido pelo CADE (Lei 12.529/2011, art. 36).</t>
  </si>
  <si>
    <t xml:space="preserve">Lei 12.529/2011, art. 36</t>
  </si>
  <si>
    <t xml:space="preserve">R596</t>
  </si>
  <si>
    <t xml:space="preserve">Posto de combustível › Aula, na prática</t>
  </si>
  <si>
    <t xml:space="preserve">O carro parou depois de abastecer e a oficina achou água na gasolina? O posto deve pagar o conserto, e vender combustível adulterado é crime.</t>
  </si>
  <si>
    <t xml:space="preserve">R597</t>
  </si>
  <si>
    <t xml:space="preserve">Posto de combustível › Prova, pergunta 1</t>
  </si>
  <si>
    <t xml:space="preserve">Quem fiscaliza a venda de combustíveis? → Resposta: ANP. Agência Nacional do Petróleo, Gás Natural e Biocombustíveis (Lei 9.478/1997).</t>
  </si>
  <si>
    <t xml:space="preserve">Agência Nacional do Petróleo, Gás Natural e Biocombustíveis (Lei 9.478/1997).</t>
  </si>
  <si>
    <t xml:space="preserve">R598</t>
  </si>
  <si>
    <t xml:space="preserve">Posto de combustível › Prova, pergunta 2</t>
  </si>
  <si>
    <t xml:space="preserve">Vender combustível adulterado é: → Resposta: Crime contra a ordem econômica. Lei 8.176/1991, art. 1º.</t>
  </si>
  <si>
    <t xml:space="preserve">Lei 8.176/1991, art. 1º.</t>
  </si>
  <si>
    <t xml:space="preserve">R599</t>
  </si>
  <si>
    <t xml:space="preserve">Posto de combustível › Prova, pergunta 3</t>
  </si>
  <si>
    <t xml:space="preserve">Postos que combinam o mesmo preço para lucrar mais praticam: → Resposta: Cartel, punido pelo CADE. Lei 12.529/2011, art. 36.</t>
  </si>
  <si>
    <t xml:space="preserve">Lei 12.529/2011, art. 36.</t>
  </si>
  <si>
    <t xml:space="preserve">R600</t>
  </si>
  <si>
    <t xml:space="preserve">Estação de VLT › Aula</t>
  </si>
  <si>
    <t xml:space="preserve">Transporte como Direito Social</t>
  </si>
  <si>
    <t xml:space="preserve">O transporte é um direito social, e o transporte coletivo tem prioridade no planejamento da cidade.</t>
  </si>
  <si>
    <t xml:space="preserve">R601</t>
  </si>
  <si>
    <t xml:space="preserve">Estação de VLT › Aula, ponto 1</t>
  </si>
  <si>
    <t xml:space="preserve">O transporte passou a ser direito social na Constituição com a Emenda 90/2015 (CF, art. 6º).</t>
  </si>
  <si>
    <t xml:space="preserve">R602</t>
  </si>
  <si>
    <t xml:space="preserve">Estação de VLT › Aula, ponto 2</t>
  </si>
  <si>
    <t xml:space="preserve">Cabe ao Município organizar e prestar o transporte coletivo local, diretamente ou por concessão (CF, art. 30, V).</t>
  </si>
  <si>
    <t xml:space="preserve">R603</t>
  </si>
  <si>
    <t xml:space="preserve">Estação de VLT › Aula, ponto 3</t>
  </si>
  <si>
    <t xml:space="preserve">Municípios com mais de 20 mil habitantes devem ter Plano de Mobilidade Urbana (Lei 12.587/2012, art. 24, §1º).</t>
  </si>
  <si>
    <t xml:space="preserve">Lei 12.587/2012, art. 24, §1º</t>
  </si>
  <si>
    <t xml:space="preserve">R604</t>
  </si>
  <si>
    <t xml:space="preserve">Estação de VLT › Aula, ponto 4</t>
  </si>
  <si>
    <t xml:space="preserve">Os usuários têm direito a ser informados sobre itinerários, horários e tarifas (Lei 12.587/2012, art. 14, III).</t>
  </si>
  <si>
    <t xml:space="preserve">Lei 12.587/2012, art. 14, III</t>
  </si>
  <si>
    <t xml:space="preserve">R605</t>
  </si>
  <si>
    <t xml:space="preserve">Estação de VLT › Aula, na prática</t>
  </si>
  <si>
    <t xml:space="preserve">A empresa mudou os horários do VLT sem avisar ninguém? Os usuários têm direito a informação clara sobre itinerários, horários e tarifas.</t>
  </si>
  <si>
    <t xml:space="preserve">R606</t>
  </si>
  <si>
    <t xml:space="preserve">Estação de VLT › Prova, pergunta 1</t>
  </si>
  <si>
    <t xml:space="preserve">O transporte é direito social desde qual mudança na Constituição? → Resposta: Emenda 90/2015. A EC 90/2015 incluiu o transporte no art. 6º da CF.</t>
  </si>
  <si>
    <t xml:space="preserve">A EC 90/2015 incluiu o transporte no art. 6º da CF.</t>
  </si>
  <si>
    <t xml:space="preserve">R607</t>
  </si>
  <si>
    <t xml:space="preserve">Estação de VLT › Prova, pergunta 2</t>
  </si>
  <si>
    <t xml:space="preserve">Quem organiza o transporte coletivo dentro da cidade? → Resposta: O Município. CF, art. 30, V.</t>
  </si>
  <si>
    <t xml:space="preserve">CF, art. 30, V.</t>
  </si>
  <si>
    <t xml:space="preserve">R608</t>
  </si>
  <si>
    <t xml:space="preserve">Estação de VLT › Prova, pergunta 3</t>
  </si>
  <si>
    <t xml:space="preserve">Municípios com mais de quantos habitantes precisam de Plano de Mobilidade Urbana? → Resposta: 20 mil. Lei 12.587/2012, art. 24, §1º.</t>
  </si>
  <si>
    <t xml:space="preserve">Lei 12.587/2012, art. 24, §1º.</t>
  </si>
  <si>
    <t xml:space="preserve">R609</t>
  </si>
  <si>
    <t xml:space="preserve">Porto fluvial › Aula</t>
  </si>
  <si>
    <t xml:space="preserve">Direito Portuário e da Navegação</t>
  </si>
  <si>
    <t xml:space="preserve">Portos e navegação são assunto da União, com regras de segurança fiscalizadas pela Marinha.</t>
  </si>
  <si>
    <t xml:space="preserve">R610</t>
  </si>
  <si>
    <t xml:space="preserve">Porto fluvial › Aula, ponto 1</t>
  </si>
  <si>
    <t xml:space="preserve">Cabe à União explorar os portos, diretamente ou por autorização, concessão ou permissão (CF, art. 21, XII, "f").</t>
  </si>
  <si>
    <t xml:space="preserve">CF, art. 21, XII, "f"</t>
  </si>
  <si>
    <t xml:space="preserve">R611</t>
  </si>
  <si>
    <t xml:space="preserve">Porto fluvial › Aula, ponto 2</t>
  </si>
  <si>
    <t xml:space="preserve">A Lei dos Portos (Lei 12.815/2013) organiza portos públicos e terminais privados, fiscalizados pela ANTAQ.</t>
  </si>
  <si>
    <t xml:space="preserve">R612</t>
  </si>
  <si>
    <t xml:space="preserve">Porto fluvial › Aula, ponto 3</t>
  </si>
  <si>
    <t xml:space="preserve">A segurança da navegação, como habilitação dos condutores e coletes salva-vidas, é fiscalizada pela Marinha, por meio da Capitania dos Portos (Lei 9.537/1997).</t>
  </si>
  <si>
    <t xml:space="preserve">Lei 9.537/1997</t>
  </si>
  <si>
    <t xml:space="preserve">R613</t>
  </si>
  <si>
    <t xml:space="preserve">Porto fluvial › Aula, ponto 4</t>
  </si>
  <si>
    <t xml:space="preserve">Rios que banham mais de um Estado são bens da União (CF, art. 20, III).</t>
  </si>
  <si>
    <t xml:space="preserve">CF, art. 20, III</t>
  </si>
  <si>
    <t xml:space="preserve">R614</t>
  </si>
  <si>
    <t xml:space="preserve">Porto fluvial › Aula, na prática</t>
  </si>
  <si>
    <t xml:space="preserve">Um barqueiro leva passageiros pelo rio sem habilitação e sem coletes? A Capitania dos Portos pode multar e apreender a embarcação.</t>
  </si>
  <si>
    <t xml:space="preserve">R615</t>
  </si>
  <si>
    <t xml:space="preserve">Porto fluvial › Prova, pergunta 1</t>
  </si>
  <si>
    <t xml:space="preserve">Quem explora os portos, diretamente ou por concessão? → Resposta: A União. CF, art. 21, XII, "f".</t>
  </si>
  <si>
    <t xml:space="preserve">CF, art. 21, XII, "f".</t>
  </si>
  <si>
    <t xml:space="preserve">R616</t>
  </si>
  <si>
    <t xml:space="preserve">Porto fluvial › Prova, pergunta 2</t>
  </si>
  <si>
    <t xml:space="preserve">Qual agência fiscaliza os portos e o transporte pela água? → Resposta: ANTAQ. Agência Nacional de Transportes Aquaviários.</t>
  </si>
  <si>
    <t xml:space="preserve">Agência Nacional de Transportes Aquaviários.</t>
  </si>
  <si>
    <t xml:space="preserve">R617</t>
  </si>
  <si>
    <t xml:space="preserve">Porto fluvial › Prova, pergunta 3</t>
  </si>
  <si>
    <t xml:space="preserve">Quem fiscaliza a segurança da navegação, como coletes e habilitação? → Resposta: A Marinha, pela Capitania dos Portos. Lei 9.537/1997.</t>
  </si>
  <si>
    <t xml:space="preserve">Lei 9.537/1997.</t>
  </si>
  <si>
    <t xml:space="preserve">R618</t>
  </si>
  <si>
    <t xml:space="preserve">Aeroporto › Aula</t>
  </si>
  <si>
    <t xml:space="preserve">Direito Aeronáutico e do Passageiro</t>
  </si>
  <si>
    <t xml:space="preserve">Voar envolve regras de segurança, de vizinhança e direitos do passageiro.</t>
  </si>
  <si>
    <t xml:space="preserve">R619</t>
  </si>
  <si>
    <t xml:space="preserve">Aeroporto › Aula, ponto 1</t>
  </si>
  <si>
    <t xml:space="preserve">A navegação aérea e a infraestrutura dos aeroportos são de competência da União, com regulação da ANAC (CF, art. 21, XII, "c"; Lei 11.182/2005).</t>
  </si>
  <si>
    <t xml:space="preserve">CF, art. 21, XII, "c"; Lei 11.182/2005</t>
  </si>
  <si>
    <t xml:space="preserve">R620</t>
  </si>
  <si>
    <t xml:space="preserve">Aeroporto › Aula, ponto 2</t>
  </si>
  <si>
    <t xml:space="preserve">Em volta dos aeroportos há zonas de proteção que limitam a altura dos prédios e o uso do solo por causa do ruído (Código Brasileiro de Aeronáutica, Lei 7.565/1986, arts. 43 a 46).</t>
  </si>
  <si>
    <t xml:space="preserve">Código Brasileiro de Aeronáutica, Lei 7.565/1986, arts. 43 a 46</t>
  </si>
  <si>
    <t xml:space="preserve">R621</t>
  </si>
  <si>
    <t xml:space="preserve">Aeroporto › Aula, ponto 3</t>
  </si>
  <si>
    <t xml:space="preserve">Se o voo atrasar, a companhia deve dar assistência: comunicação a partir de 1 hora, alimentação a partir de 2 horas e hospedagem, se precisar pernoitar, a partir de 4 horas (Resolução ANAC 400/2016, art. 27).</t>
  </si>
  <si>
    <t xml:space="preserve">Resolução ANAC 400/2016, art. 27</t>
  </si>
  <si>
    <t xml:space="preserve">Resolução ANAC 400/2016: conferir se houve atualização dos prazos de assistência.</t>
  </si>
  <si>
    <t xml:space="preserve">R622</t>
  </si>
  <si>
    <t xml:space="preserve">Aeroporto › Aula, ponto 4</t>
  </si>
  <si>
    <t xml:space="preserve">Em voos internacionais, a indenização por bagagem extraviada segue os limites das Convenções de Varsóvia e Montreal (STF, Tema 210).</t>
  </si>
  <si>
    <t xml:space="preserve">STF, Tema 210</t>
  </si>
  <si>
    <t xml:space="preserve">R623</t>
  </si>
  <si>
    <t xml:space="preserve">Aeroporto › Aula, na prática</t>
  </si>
  <si>
    <t xml:space="preserve">O voo atrasou 3 horas e a companhia não ofereceu nada? Depois de 2 horas de atraso, ela deve oferecer alimentação, como um voucher.</t>
  </si>
  <si>
    <t xml:space="preserve">R624</t>
  </si>
  <si>
    <t xml:space="preserve">Aeroporto › Prova, pergunta 1</t>
  </si>
  <si>
    <t xml:space="preserve">Quem regula e fiscaliza a aviação civil? → Resposta: ANAC. Agência Nacional de Aviação Civil (Lei 11.182/2005).</t>
  </si>
  <si>
    <t xml:space="preserve">Agência Nacional de Aviação Civil (Lei 11.182/2005).</t>
  </si>
  <si>
    <t xml:space="preserve">R625</t>
  </si>
  <si>
    <t xml:space="preserve">Aeroporto › Prova, pergunta 2</t>
  </si>
  <si>
    <t xml:space="preserve">Com 2 horas de atraso no voo, o passageiro tem direito a: → Resposta: Alimentação, como voucher ou lanche. Resolução ANAC 400/2016, art. 27, II.</t>
  </si>
  <si>
    <t xml:space="preserve">Resolução ANAC 400/2016, art. 27, II.</t>
  </si>
  <si>
    <t xml:space="preserve">R626</t>
  </si>
  <si>
    <t xml:space="preserve">Aeroporto › Prova, pergunta 3</t>
  </si>
  <si>
    <t xml:space="preserve">Por que há regras de construção perto dos aeroportos? → Resposta: Pela segurança dos voos e por causa do ruído. Código Brasileiro de Aeronáutica, arts. 43 a 46.</t>
  </si>
  <si>
    <t xml:space="preserve">Código Brasileiro de Aeronáutica, arts. 43 a 46.</t>
  </si>
  <si>
    <t xml:space="preserve">R627</t>
  </si>
  <si>
    <t xml:space="preserve">Caso 1: A obra da praça</t>
  </si>
  <si>
    <t xml:space="preserve">Caso de cidadão</t>
  </si>
  <si>
    <t xml:space="preserve">Prefeito(a), precisamos reformar a praça central. Meu cunhado tem uma construtora ótima e topa fazer agora mesmo. Posso contratar direto? → Resposta: Não. É preciso abrir licitação. Obras públicas exigem licitação (Lei 14.133/2021). Contratar parente sem licitação fere a impessoalidade e a moralidade (CF, art. 37).</t>
  </si>
  <si>
    <t xml:space="preserve">CF, art. 37; Lei 14.133/2021</t>
  </si>
  <si>
    <t xml:space="preserve">R628</t>
  </si>
  <si>
    <t xml:space="preserve">Caso 2: Vaga de servidor</t>
  </si>
  <si>
    <t xml:space="preserve">Precisamos de mais 5 fiscais efetivos na prefeitura. Podemos escolher pessoas indicadas pelos vereadores? → Resposta: Não, cargos efetivos exigem concurso público. A investidura em cargo efetivo depende de aprovação prévia em concurso público (CF, art. 37, II). Só cargos em comissão são de livre nomeação.</t>
  </si>
  <si>
    <t xml:space="preserve">R629</t>
  </si>
  <si>
    <t xml:space="preserve">Caso 3: Propaganda com a cara do prefeito</t>
  </si>
  <si>
    <t xml:space="preserve">Que tal colocar sua foto e seu nome em todas as placas das obras da prefeitura? Ajuda na reeleição! → Resposta: Não pode: a publicidade oficial não pode promover autoridades. A publicidade de atos e obras públicas deve ter caráter educativo e informativo, sem nomes, símbolos ou imagens que promovam autoridades (CF, art. 37, §1º).</t>
  </si>
  <si>
    <t xml:space="preserve">CF, art. 37, §1º</t>
  </si>
  <si>
    <t xml:space="preserve">R630</t>
  </si>
  <si>
    <t xml:space="preserve">Caso 4: Contrato de gaveta</t>
  </si>
  <si>
    <t xml:space="preserve">Comprei uma casa há 3 anos, paguei tudo e assinei um contrato particular. Agora o vendedor morreu e os filhos dizem que a casa é deles. A casa é minha? → Resposta: No papel, ainda não: faltou registrar no Cartório de Imóveis. Procure regularizar (ex.: adjudicação compulsória). A propriedade só se transfere com o registro (CC, art. 1.245). Seu Joaquim tem direitos pelo contrato e pode exigir judicialmente a transferência, mas precisa regularizar.</t>
  </si>
  <si>
    <t xml:space="preserve">CC, art. 1.245</t>
  </si>
  <si>
    <t xml:space="preserve">R631</t>
  </si>
  <si>
    <t xml:space="preserve">Caso 5: O terreno abandonado</t>
  </si>
  <si>
    <t xml:space="preserve">Moro há 6 anos numa casinha de 120 m² num terreno que estava abandonado. Ninguém nunca reclamou e não tenho outro imóvel. Posso virar dona? → Resposta: Sim, pode pedir usucapião especial urbana. Imóvel urbano até 250 m², moradia, 5 anos sem oposição e sem outro imóvel: usucapião especial urbana (CF, art. 183; CC, art. 1.240). Se o terreno fosse público, não poderia.</t>
  </si>
  <si>
    <t xml:space="preserve">R632</t>
  </si>
  <si>
    <t xml:space="preserve">Caso 6: A árvore do vizinho</t>
  </si>
  <si>
    <t xml:space="preserve">Os galhos da mangueira do meu vizinho invadem meu quintal. Posso cortar? → Resposta: Sim, pode cortar as raízes e ramos que ultrapassam a divisa. O art. 1.283 do Código Civil permite cortar raízes e ramos que ultrapassem a extrema do prédio, até o plano vertical divisório.</t>
  </si>
  <si>
    <t xml:space="preserve">CC, art. 1.283</t>
  </si>
  <si>
    <t xml:space="preserve">R633</t>
  </si>
  <si>
    <t xml:space="preserve">Caso 7: Fiador e seguro?</t>
  </si>
  <si>
    <t xml:space="preserve">A imobiliária quer que eu apresente fiador E pague seguro-fiança. Isso é normal? → Resposta: Não, só pode ser exigida uma garantia. É vedada mais de uma modalidade de garantia no mesmo contrato (Lei 8.245/91, art. 37, parágrafo único).</t>
  </si>
  <si>
    <t xml:space="preserve">Lei 8.245/91, art. 37</t>
  </si>
  <si>
    <t xml:space="preserve">R634</t>
  </si>
  <si>
    <t xml:space="preserve">Caso 8: Mudança antes do prazo</t>
  </si>
  <si>
    <t xml:space="preserve">Meu contrato é de 30 meses, mas fui transferido no trabalho depois de 10. Tenho que pagar a multa inteira? → Resposta: Não: a multa é proporcional e, em transferência pelo empregador, é dispensada se avisar com 30 dias. A multa é proporcional ao período restante (art. 4º); e o locatário fica dispensado dela se a devolução decorrer de transferência pelo empregador, avisando por escrito com 30 dias (art. 4º, parágrafo único).</t>
  </si>
  <si>
    <t xml:space="preserve">Lei 8.245/91, art. 4º</t>
  </si>
  <si>
    <t xml:space="preserve">R635</t>
  </si>
  <si>
    <t xml:space="preserve">Caso 9: Infiltração no teto</t>
  </si>
  <si>
    <t xml:space="preserve">O telhado do prédio está com problema estrutural e está chovendo dentro do meu apartamento alugado. Quem paga o conserto? → Resposta: O locador, pois são reparos estruturais. Cabe ao locador manter a forma e o destino do imóvel e pagar despesas extraordinárias, como obras na estrutura (Lei 8.245/91, art. 22).</t>
  </si>
  <si>
    <t xml:space="preserve">Lei 8.245/91, art. 22</t>
  </si>
  <si>
    <t xml:space="preserve">R636</t>
  </si>
  <si>
    <t xml:space="preserve">Caso 10: Preço errado na etiqueta</t>
  </si>
  <si>
    <t xml:space="preserve">O leite estava por R$ 4,50 na prateleira, mas no caixa cobraram R$ 6,90. O que vale? → Resposta: O menor preço anunciado. A oferta vincula o fornecedor (CDC, art. 30) e, havendo divergência, o consumidor paga o menor preço (Lei 10.962/2004, art. 5º).</t>
  </si>
  <si>
    <t xml:space="preserve">CDC, art. 30; Lei 10.962/2004</t>
  </si>
  <si>
    <t xml:space="preserve">R637</t>
  </si>
  <si>
    <t xml:space="preserve">Caso 11: Compra online</t>
  </si>
  <si>
    <t xml:space="preserve">Comprei uma blusa pelo site do mercado há 4 dias. Não gostei da cor. Posso devolver? → Resposta: Sim, tem até 7 dias para desistir e receber tudo de volta, incluindo frete. Direito de arrependimento: 7 dias para compras fora do estabelecimento, com devolução de todos os valores pagos (CDC, art. 49).</t>
  </si>
  <si>
    <t xml:space="preserve">CDC, art. 49</t>
  </si>
  <si>
    <t xml:space="preserve">R638</t>
  </si>
  <si>
    <t xml:space="preserve">Caso 12: Cartão só acima de R$ 20</t>
  </si>
  <si>
    <t xml:space="preserve">O caixa disse que só aceita cartão para compras acima de R$ 20. Pode isso? → Resposta: Não pode condicionar valor mínimo se aceita cartão. Se o estabelecimento aceita cartão, não pode impor valor mínimo: isso é prática abusiva (CDC, art. 39, V). A loja pode, porém, oferecer preços diferentes por forma de pagamento (Lei 13.455/2017), desde que informe claramente.</t>
  </si>
  <si>
    <t xml:space="preserve">CDC, art. 39</t>
  </si>
  <si>
    <t xml:space="preserve">R639</t>
  </si>
  <si>
    <t xml:space="preserve">Caso 13: Produto vencido</t>
  </si>
  <si>
    <t xml:space="preserve">Comprei iogurte vencido e passei mal. O mercado diz que a culpa é do fabricante. E agora? → Resposta: O mercado também responde por vender produto impróprio. Produto vencido é impróprio ao consumo (CDC, art. 18, §6º, I). O comerciante responde solidariamente, e também pelo dano à saúde quando não conservou adequadamente o produto (art. 13).</t>
  </si>
  <si>
    <t xml:space="preserve">CDC, arts. 13 e 18</t>
  </si>
  <si>
    <t xml:space="preserve">R640</t>
  </si>
  <si>
    <t xml:space="preserve">Caso 14: Sem carteira assinada</t>
  </si>
  <si>
    <t xml:space="preserve">Trabalho na fábrica todo dia, com horário e chefe, mas não assinaram minha carteira. Tenho direitos? → Resposta: Sim, há vínculo de emprego e ele pode exigir o registro e os direitos. Presentes pessoalidade, habitualidade, subordinação e salário, há relação de emprego (CLT, art. 3º). A anotação da CTPS é obrigação do empregador (CLT, art. 29).</t>
  </si>
  <si>
    <t xml:space="preserve">CLT, arts. 3º e 29</t>
  </si>
  <si>
    <t xml:space="preserve">R641</t>
  </si>
  <si>
    <t xml:space="preserve">Caso 15: Almoço de 15 minutos</t>
  </si>
  <si>
    <t xml:space="preserve">Trabalho 8 horas por dia, mas o gerente só deixa 15 minutos de almoço. Está certo? → Resposta: Não: para mais de 6 horas, o intervalo mínimo é de 1 hora. Jornada acima de 6 horas exige intervalo mínimo de 1 hora (CLT, art. 71). O tempo suprimido deve ser pago com acréscimo de 50% (art. 71, §4º).</t>
  </si>
  <si>
    <t xml:space="preserve">R642</t>
  </si>
  <si>
    <t xml:space="preserve">Caso 16: O sobrinho de 13 anos</t>
  </si>
  <si>
    <t xml:space="preserve">Meu sobrinho de 13 anos quer trabalhar na linha de produção nas férias. Posso contratar? → Resposta: Não: abaixo de 14 anos não pode trabalhar nem como aprendiz. É proibido qualquer trabalho a menores de 16 anos, salvo como aprendiz a partir de 14 (CF, art. 7º, XXXIII). E trabalho insalubre ou perigoso é proibido até os 18.</t>
  </si>
  <si>
    <t xml:space="preserve">R643</t>
  </si>
  <si>
    <t xml:space="preserve">Caso 17: Grávida demitida</t>
  </si>
  <si>
    <t xml:space="preserve">Descobri que estou grávida e fui demitida sem justa causa logo depois. A empresa pode fazer isso? → Resposta: Não: a gestante tem estabilidade desde a confirmação da gravidez até 5 meses após o parto. O ADCT, art. 10, II, "b", garante estabilidade à gestante. Vale mesmo que o empregador não soubesse da gravidez (Súmula 244 do TST).</t>
  </si>
  <si>
    <t xml:space="preserve">ADCT, art. 10, II, "b"</t>
  </si>
  <si>
    <t xml:space="preserve">R644</t>
  </si>
  <si>
    <t xml:space="preserve">Caso 18: Aluno faltando</t>
  </si>
  <si>
    <t xml:space="preserve">O Miguel, de 10 anos, faltou 3 semanas seguidas e a família não atende. O que a escola faz? → Resposta: Comunica o Conselho Tutelar. A escola deve comunicar ao Conselho Tutelar a reiteração de faltas injustificadas após esgotar os recursos escolares (ECA, art. 56, II).</t>
  </si>
  <si>
    <t xml:space="preserve">ECA, art. 56</t>
  </si>
  <si>
    <t xml:space="preserve">R645</t>
  </si>
  <si>
    <t xml:space="preserve">Caso 19: Sem vaga na creche</t>
  </si>
  <si>
    <t xml:space="preserve">Meu filho de 3 anos não conseguiu vaga na creche municipal. Disseram que é "favor" da prefeitura. É verdade? → Resposta: Não: educação infantil em creche é direito da criança e dever do município. A CF (art. 208, IV) garante educação infantil em creche e pré-escola até 5 anos. O STF (Tema 548) reconheceu que é direito exigível judicialmente.</t>
  </si>
  <si>
    <t xml:space="preserve">CF, art. 208, IV</t>
  </si>
  <si>
    <t xml:space="preserve">R646</t>
  </si>
  <si>
    <t xml:space="preserve">Caso 20: Bullying na sala</t>
  </si>
  <si>
    <t xml:space="preserve">Uns colegas me xingam e filmam pra rir de mim. A escola diz que é "brincadeira". Tem lei sobre isso? → Resposta: Sim: a lei obriga escolas a prevenir e combater o bullying, e a intimidação sistemática pode ser crime. A Lei 13.185/2015 obriga escolas a combater a intimidação sistemática, e a Lei 14.811/2024 incluiu o bullying e o cyberbullying como crimes no Código Penal (art. 146-A).</t>
  </si>
  <si>
    <t xml:space="preserve">Lei 13.185/2015; CP, art. 146-A</t>
  </si>
  <si>
    <t xml:space="preserve">R647</t>
  </si>
  <si>
    <t xml:space="preserve">Caso 21: Turista doente</t>
  </si>
  <si>
    <t xml:space="preserve">Um turista estrangeiro está com febre alta e procurou o posto. A recepção pergunta se ele pode ser atendido. → Resposta: Sim, o SUS é universal. O SUS é regido pela universalidade de acesso (Lei 8.080/90, art. 7º, I). Atender é obrigação.</t>
  </si>
  <si>
    <t xml:space="preserve">CF, art. 196; Lei 8.080/90</t>
  </si>
  <si>
    <t xml:space="preserve">R648</t>
  </si>
  <si>
    <t xml:space="preserve">Caso 22: Remédio caro</t>
  </si>
  <si>
    <t xml:space="preserve">Preciso de um remédio que não está na lista do SUS e não posso pagar. Tenho alguma saída? → Resposta: Pode pedir na Justiça, cumprindo requisitos fixados pelos tribunais (laudo, incapacidade financeira, registro na Anvisa). O STJ (Tema 106) e o STF (Temas 6 e 1.234) fixaram requisitos para obter judicialmente medicamentos fora das listas do SUS, como laudo médico fundamentado, incapacidade financeira e registro na Anvisa.</t>
  </si>
  <si>
    <t xml:space="preserve">CF, art. 196; STJ Tema 106; STF Temas 6 e 1.234</t>
  </si>
  <si>
    <t xml:space="preserve">R649</t>
  </si>
  <si>
    <t xml:space="preserve">Caso 23: Prontuário</t>
  </si>
  <si>
    <t xml:space="preserve">Quero uma cópia do meu prontuário para levar a outro médico. O posto disse que o documento "é do posto". Tenho direito? → Resposta: Sim, o paciente tem direito de acesso ao próprio prontuário. O paciente tem direito de acesso às suas informações de saúde (Lei 13.787/2018; LGPD, art. 18; Código de Ética Médica, art. 88).</t>
  </si>
  <si>
    <t xml:space="preserve">LGPD, art. 18; CEM, art. 88</t>
  </si>
  <si>
    <t xml:space="preserve">R650</t>
  </si>
  <si>
    <t xml:space="preserve">Caso 24: Lixo no rio</t>
  </si>
  <si>
    <t xml:space="preserve">Uma empresa está despejando resíduos no rio que corta o parque. Ela diz que foi "acidente". O que fazer? → Resposta: Ela deve reparar o dano e pode responder administrativa e penalmente. A responsabilidade civil ambiental é objetiva (Lei 6.938/81, art. 14, §1º); a empresa também pode sofrer sanções administrativas e penais (Lei 9.605/98).</t>
  </si>
  <si>
    <t xml:space="preserve">CF, art. 225, §3º; Lei 6.938/81</t>
  </si>
  <si>
    <t xml:space="preserve">R651</t>
  </si>
  <si>
    <t xml:space="preserve">Caso 25: Casa na beira do riacho</t>
  </si>
  <si>
    <t xml:space="preserve">Quero construir quiosques a 5 metros da margem do riacho do parque, que tem 4 metros de largura. Pode? → Resposta: Não: é Área de Preservação Permanente de no mínimo 30 metros. Para cursos d'água com menos de 10 m de largura, a APP é de 30 metros em cada margem (Lei 12.651/2012, art. 4º, I, "a").</t>
  </si>
  <si>
    <t xml:space="preserve">R652</t>
  </si>
  <si>
    <t xml:space="preserve">Caso 26: Maus-tratos a animais</t>
  </si>
  <si>
    <t xml:space="preserve">Encontramos um homem agredindo um cachorro no parque. É só uma questão moral? → Resposta: Não: maus-tratos a animais é crime, com pena maior quando a vítima é cão ou gato. O art. 32 da Lei 9.605/98 tipifica os maus-tratos; para cães e gatos, a pena é de reclusão de 2 a 5 anos (§1º-A, incluído pela Lei 14.064/2020).</t>
  </si>
  <si>
    <t xml:space="preserve">Lei 9.605/98, art. 32</t>
  </si>
  <si>
    <t xml:space="preserve">R653</t>
  </si>
  <si>
    <t xml:space="preserve">Caso 27: Confissão forçada</t>
  </si>
  <si>
    <t xml:space="preserve">O suspeito não quer falar. Posso dizer que, se ficar calado, isso prova que ele é culpado? → Resposta: Não: o silêncio é direito e não pode ser interpretado contra ele. O preso tem direito de permanecer calado (CF, art. 5º, LXIII) e o silêncio não importa confissão nem pode prejudicar a defesa (CPP, art. 186, parágrafo único).</t>
  </si>
  <si>
    <t xml:space="preserve">CF, art. 5º, LXIII; CPP, art. 186</t>
  </si>
  <si>
    <t xml:space="preserve">R654</t>
  </si>
  <si>
    <t xml:space="preserve">Caso 28: Preso há 3 dias</t>
  </si>
  <si>
    <t xml:space="preserve">Meu cliente foi preso em flagrante há 3 dias e ainda não viu um juiz. Está correto? → Resposta: Não: a audiência de custódia deve ocorrer em até 24 horas. O art. 310 do CPP determina a audiência de custódia em até 24 horas após a prisão. O descumprimento sem motivo idôneo pode tornar a prisão ilegal.</t>
  </si>
  <si>
    <t xml:space="preserve">R655</t>
  </si>
  <si>
    <t xml:space="preserve">Caso 29: Assalto na padaria</t>
  </si>
  <si>
    <t xml:space="preserve">Um homem armado tentou me assaltar e eu o empurrei para longe, fazendo-o cair. Ele se machucou. Cometi crime? → Resposta: Não, agi em legítima defesa. Repelir injusta agressão atual, usando moderadamente os meios necessários, é legítima defesa (CP, art. 25) e exclui o crime (art. 23, II).</t>
  </si>
  <si>
    <t xml:space="preserve">CP, arts. 23 e 25</t>
  </si>
  <si>
    <t xml:space="preserve">R656</t>
  </si>
  <si>
    <t xml:space="preserve">Caso 30: Sem dinheiro para advogado</t>
  </si>
  <si>
    <t xml:space="preserve">Uma empresa me cobrou R$ 3.000 por um serviço que nunca contratei. Não tenho dinheiro para advogado. Desisto? → Resposta: Pode ir sozinha ao Juizado Especial (causa até 20 salários mínimos) ou procurar a Defensoria. No Juizado Especial Cível, causas até 20 salários mínimos dispensam advogado (Lei 9.099/95, art. 9º). A Defensoria Pública também presta assistência gratuita (CF, art. 134).</t>
  </si>
  <si>
    <t xml:space="preserve">Lei 9.099/95, art. 9º; CF, art. 134</t>
  </si>
  <si>
    <t xml:space="preserve">R657</t>
  </si>
  <si>
    <t xml:space="preserve">Caso 31: Cláusula proibindo processar</t>
  </si>
  <si>
    <t xml:space="preserve">Coloquei no contrato que o cliente não pode processar minha empresa em hipótese alguma. Isso vale? → Resposta: Não: ninguém pode ser impedido de buscar o Judiciário. A lei não excluirá da apreciação do Poder Judiciário lesão ou ameaça a direito (CF, art. 5º, XXXV). Em contratos de consumo, essa cláusula ainda é nula pelo CDC (art. 51).</t>
  </si>
  <si>
    <t xml:space="preserve">R658</t>
  </si>
  <si>
    <t xml:space="preserve">Caso 32: Acordo antes da sentença</t>
  </si>
  <si>
    <t xml:space="preserve">As duas partes de um processo querem fazer um acordo antes da sentença. É possível? → Resposta: Sim, a conciliação é incentivada em qualquer fase do processo. O CPC estimula a solução consensual dos conflitos em qualquer momento (art. 3º, §3º), e o acordo homologado vale como sentença.</t>
  </si>
  <si>
    <t xml:space="preserve">CPC, art. 3º, §3º</t>
  </si>
  <si>
    <t xml:space="preserve">R659</t>
  </si>
  <si>
    <t xml:space="preserve">Caso 33: Lei aprovada</t>
  </si>
  <si>
    <t xml:space="preserve">Aprovamos uma lei que proíbe qualquer pessoa de criticar a prefeitura nas redes sociais. Vai sancionar? → Resposta: Veto: a lei é inconstitucional por violar a liberdade de expressão. A livre manifestação do pensamento é garantida (CF, art. 5º, IV e IX). O prefeito deve vetar projetos inconstitucionais.</t>
  </si>
  <si>
    <t xml:space="preserve">CF, art. 5º, IV e IX</t>
  </si>
  <si>
    <t xml:space="preserve">R660</t>
  </si>
  <si>
    <t xml:space="preserve">Caso 34: Lei sobre Direito Penal</t>
  </si>
  <si>
    <t xml:space="preserve">Quero criar uma lei municipal que transforma pichação em crime com pena de 10 anos de prisão. Pode? → Resposta: Não: só a União pode legislar sobre Direito Penal. Compete privativamente à União legislar sobre direito penal (CF, art. 22, I). O município pode, porém, criar multas administrativas em temas locais.</t>
  </si>
  <si>
    <t xml:space="preserve">CF, art. 22, I</t>
  </si>
  <si>
    <t xml:space="preserve">R661</t>
  </si>
  <si>
    <t xml:space="preserve">Caso 35: Horário do comércio</t>
  </si>
  <si>
    <t xml:space="preserve">A Câmara quer definir o horário de funcionamento das lojas da cidade. Isso é assunto municipal? → Resposta: Sim, é interesse local. Compete ao município fixar o horário de funcionamento do comércio local (Súmula Vinculante 38 do STF; CF, art. 30, I).</t>
  </si>
  <si>
    <t xml:space="preserve">CF, art. 30, I; Súmula Vinculante 38</t>
  </si>
  <si>
    <t xml:space="preserve">R662</t>
  </si>
  <si>
    <t xml:space="preserve">Caso 36: Certidão cobrada</t>
  </si>
  <si>
    <t xml:space="preserve">O cartório quer cobrar pelo registro de nascimento da minha filha. Tenho que pagar? → Resposta: Não, o registro de nascimento e a primeira certidão são gratuitos. São gratuitos para todos o registro civil de nascimento e a primeira certidão (Lei 6.015/73, art. 30; Lei 9.534/97).</t>
  </si>
  <si>
    <t xml:space="preserve">CF, art. 5º, LXXVI; Lei 9.534/97</t>
  </si>
  <si>
    <t xml:space="preserve">R663</t>
  </si>
  <si>
    <t xml:space="preserve">Caso 37: Casamento aos 15</t>
  </si>
  <si>
    <t xml:space="preserve">Um casal quer casar; a noiva tem 15 anos e os pais concordam. O cartório pode celebrar? → Resposta: Não: menores de 16 não podem casar em hipótese alguma. A Lei 13.811/2019 alterou o art. 1.520 do CC e proibiu, em qualquer caso, o casamento de quem não atingiu 16 anos.</t>
  </si>
  <si>
    <t xml:space="preserve">CC, art. 1.520</t>
  </si>
  <si>
    <t xml:space="preserve">R664</t>
  </si>
  <si>
    <t xml:space="preserve">Caso 38: Juntos há 10 anos</t>
  </si>
  <si>
    <t xml:space="preserve">Moramos juntos há 10 anos, mas nunca casamos. Temos algum direito como família? → Resposta: Sim, a união estável é entidade familiar e pode ser formalizada em cartório. A união estável é reconhecida como entidade familiar (CF, art. 226, §3º; CC, art. 1.723) e pode ser declarada por escritura pública ou registrada no cartório.</t>
  </si>
  <si>
    <t xml:space="preserve">CF, art. 226, §3º; CC, art. 1.723</t>
  </si>
  <si>
    <t xml:space="preserve">R665</t>
  </si>
  <si>
    <t xml:space="preserve">Caso 39: Venda de cadastros</t>
  </si>
  <si>
    <t xml:space="preserve">Uma empresa quer comprar o cadastro dos clientes do nosso centro de dados (nomes, CPFs e telefones). Podemos vender? → Resposta: Não sem base legal: os titulares têm de ser informados, e a venda sem consentimento viola a LGPD. Compartilhar dados exige base legal e respeito à finalidade informada (LGPD, arts. 6º e 7º). Os dados pertencem aos titulares, não à empresa.</t>
  </si>
  <si>
    <t xml:space="preserve">LGPD, arts. 6º e 7º</t>
  </si>
  <si>
    <t xml:space="preserve">R666</t>
  </si>
  <si>
    <t xml:space="preserve">Caso 40: Vazamento</t>
  </si>
  <si>
    <t xml:space="preserve">Sofremos um ataque hacker e dados de saúde de clientes vazaram. Devemos esconder para evitar escândalo? → Resposta: Comunicar à ANPD e aos titulares afetados. Incidentes de segurança com risco relevante devem ser comunicados à ANPD e aos titulares (LGPD, art. 48).</t>
  </si>
  <si>
    <t xml:space="preserve">LGPD, art. 48</t>
  </si>
  <si>
    <t xml:space="preserve">R667</t>
  </si>
  <si>
    <t xml:space="preserve">Caso 41: Apague meus dados</t>
  </si>
  <si>
    <t xml:space="preserve">Não quero mais ser cliente e pedi que apagassem meus dados tratados com base no meu consentimento. A empresa disse que não precisa. Quem está certo? → Resposta: O cliente: ele pode pedir a eliminação, ressalvados os casos de guarda obrigatória por lei. O titular pode solicitar a eliminação dos dados tratados com seu consentimento (LGPD, art. 18, VI), salvo hipóteses do art. 16, como cumprimento de obrigação legal.</t>
  </si>
  <si>
    <t xml:space="preserve">LGPD, arts. 16 e 18</t>
  </si>
  <si>
    <t xml:space="preserve">R668</t>
  </si>
  <si>
    <t xml:space="preserve">Caso 42: Idoso no ônibus</t>
  </si>
  <si>
    <t xml:space="preserve">O motorista disse que eu preciso de um cartão especial para não pagar a passagem. É verdade? → Resposta: Não: basta apresentar documento com foto que comprove a idade. Para maiores de 65 anos, basta apresentar documento pessoal que faça prova da idade (Estatuto da Pessoa Idosa, art. 39, §1º).</t>
  </si>
  <si>
    <t xml:space="preserve">Lei 10.741/2003, art. 39</t>
  </si>
  <si>
    <t xml:space="preserve">R669</t>
  </si>
  <si>
    <t xml:space="preserve">Caso 43: Blitz da Lei Seca</t>
  </si>
  <si>
    <t xml:space="preserve">Um motorista se recusou a soprar o bafômetro e diz que, sem o teste, não pode ser punido. Ele tem razão? → Resposta: Não: a recusa tem as mesmas penalidades administrativas da embriaguez. O art. 165-A do CTB pune a recusa com multa (x10) e suspensão do direito de dirigir por 12 meses, mesmo sem prova da embriaguez.</t>
  </si>
  <si>
    <t xml:space="preserve">CTB, art. 165-A</t>
  </si>
  <si>
    <t xml:space="preserve">R670</t>
  </si>
  <si>
    <t xml:space="preserve">Caso 44: Ônibus sem elevador</t>
  </si>
  <si>
    <t xml:space="preserve">Os ônibus novos que a prefeitura quer comprar não têm elevador para cadeira de rodas, mas são mais baratos. Pode comprar? → Resposta: Não: o transporte coletivo deve ser acessível. A Lei Brasileira de Inclusão (Lei 13.146/2015, arts. 46 a 48) garante acessibilidade no transporte coletivo, incluindo veículos e terminais.</t>
  </si>
  <si>
    <t xml:space="preserve">Lei 13.146/2015, art. 48</t>
  </si>
  <si>
    <t xml:space="preserve">R671</t>
  </si>
  <si>
    <t xml:space="preserve">Caso 45: IPTU por decreto</t>
  </si>
  <si>
    <t xml:space="preserve">O caixa está apertado. Posso aumentar o IPTU por decreto agora em dezembro e cobrar já em janeiro? → Resposta: Não: aumento de tributo exige lei e respeito à anterioridade. Tributo só pode ser aumentado por lei (CF, art. 150, I) e, em regra, só pode ser cobrado no exercício seguinte e após 90 dias da publicação (art. 150, III, "b" e "c").</t>
  </si>
  <si>
    <t xml:space="preserve">CF, art. 150</t>
  </si>
  <si>
    <t xml:space="preserve">R672</t>
  </si>
  <si>
    <t xml:space="preserve">Caso 46: IPTU da igreja</t>
  </si>
  <si>
    <t xml:space="preserve">A prefeitura mandou cobrança de IPTU sobre o prédio do nosso templo. Temos que pagar? → Resposta: Não: templos de qualquer culto têm imunidade. A CF, art. 150, VI, "b", proíbe instituir impostos sobre templos de qualquer culto.</t>
  </si>
  <si>
    <t xml:space="preserve">R673</t>
  </si>
  <si>
    <t xml:space="preserve">Caso 47: Gastar mais do que arrecada</t>
  </si>
  <si>
    <t xml:space="preserve">No último ano de mandato, o prefeito quer contratar despesas que só serão pagas na próxima gestão, sem dinheiro em caixa. Pode? → Resposta: Não: a Lei de Responsabilidade Fiscal proíbe nos últimos 8 meses do mandato. O art. 42 da LRF (LC 101/2000) proíbe, nos dois últimos quadrimestres do mandato, contrair obrigação que não possa ser paga no mesmo período sem disponibilidade de caixa.</t>
  </si>
  <si>
    <t xml:space="preserve">LC 101/2000, art. 42</t>
  </si>
  <si>
    <t xml:space="preserve">R674</t>
  </si>
  <si>
    <t xml:space="preserve">Caso 48: Empréstimo fantasma</t>
  </si>
  <si>
    <t xml:space="preserve">Apareceu um desconto de empréstimo na minha aposentadoria, mas eu nunca pedi empréstimo nenhum! O banco diz que "está no sistema". E agora? → Resposta: O banco deve cancelar, devolver o que descontou (em regra, em dobro) e pode ter de indenizar. Cobrança indevida dá direito à devolução em dobro do que foi pago, salvo engano justificável (CDC, art. 42, parágrafo único). Fraude na contratação é risco do banco (Súmula 479 do STJ).</t>
  </si>
  <si>
    <t xml:space="preserve">CDC, art. 42; Súmula 479 do STJ</t>
  </si>
  <si>
    <t xml:space="preserve">R675</t>
  </si>
  <si>
    <t xml:space="preserve">Caso 49: Dívidas demais</t>
  </si>
  <si>
    <t xml:space="preserve">Tenho cartão, cheque especial e dois empréstimos. Se eu pagar tudo, não sobra nem para comer. Existe alguma saída legal? → Resposta: Pode pedir a repactuação das dívidas pela Lei do Superendividamento, preservando o mínimo existencial. A Lei 14.181/2021 permite ao consumidor superendividado pedir um processo de repactuação, com plano de pagamento envolvendo todos os credores (CDC, art. 104-A).</t>
  </si>
  <si>
    <t xml:space="preserve">R676</t>
  </si>
  <si>
    <t xml:space="preserve">Caso 50: Golpe do cartão clonado</t>
  </si>
  <si>
    <t xml:space="preserve">Clonaram meu cartão e fizeram compras de R$ 2.000. O banco diz que a culpa é minha. Tenho direito a algo? → Resposta: Sim: em regra, o banco responde por fraudes de terceiros nas operações bancárias. Súmula 479 do STJ: as instituições financeiras respondem objetivamente pelos danos gerados por fortuito interno relativo a fraudes e delitos de terceiros.</t>
  </si>
  <si>
    <t xml:space="preserve">R677</t>
  </si>
  <si>
    <t xml:space="preserve">Caso 51: Nunca contribuí</t>
  </si>
  <si>
    <t xml:space="preserve">Trabalhei a vida toda em casa e nunca paguei INSS. Hoje vivo com quase nada. Tenho direito a algum benefício? → Resposta: Pode ter direito ao BPC/LOAS, que é assistencial e não exige contribuição. O BPC garante 1 salário mínimo ao idoso com 65 anos ou mais que comprove baixa renda familiar, mesmo sem contribuir (CF, art. 203, V; Lei 8.742/93, art. 20).</t>
  </si>
  <si>
    <t xml:space="preserve">CF, art. 203, V; Lei 8.742/1993</t>
  </si>
  <si>
    <t xml:space="preserve">R678</t>
  </si>
  <si>
    <t xml:space="preserve">Caso 52: Acidente no começo</t>
  </si>
  <si>
    <t xml:space="preserve">Comecei a contribuir há 2 meses e sofri um acidente de moto. Fiquei sem poder trabalhar. Como não tenho 12 contribuições, perdi o direito? → Resposta: Não: em caso de acidente, a carência do auxílio por incapacidade é dispensada. Lei 8.213/91, art. 26, II: independe de carência o auxílio por incapacidade decorrente de acidente de qualquer natureza.</t>
  </si>
  <si>
    <t xml:space="preserve">Lei 8.213/1991, art. 26, II</t>
  </si>
  <si>
    <t xml:space="preserve">R679</t>
  </si>
  <si>
    <t xml:space="preserve">Caso 53: Quando posso me aposentar?</t>
  </si>
  <si>
    <t xml:space="preserve">Comecei a contribuir em 2020, depois da Reforma. Com que idade, em regra, eu poderei me aposentar? → Resposta: Aos 62 anos, cumprido o tempo mínimo de contribuição. Para quem entrou no sistema depois da EC 103/2019, a regra geral é 62 anos para mulheres e 65 para homens, com tempo mínimo de contribuição (CF, art. 201, §7º, I).</t>
  </si>
  <si>
    <t xml:space="preserve">CF, art. 201, §7º; EC 103/2019</t>
  </si>
  <si>
    <t xml:space="preserve">R680</t>
  </si>
  <si>
    <t xml:space="preserve">Caso 54: Proibido ter gato</t>
  </si>
  <si>
    <t xml:space="preserve">A convenção do prédio proíbe qualquer animal. Meu gato é castrado, fica dentro de casa e não incomoda ninguém. Vou ter que me desfazer dele? → Resposta: Não: proibição genérica de animais que não causam risco ou incômodo é inválida. O STJ (REsp 1.783.076/DF) decidiu que a convenção não pode proibir genericamente a criação de animais que não ofereçam risco à segurança, higiene ou sossego.</t>
  </si>
  <si>
    <t xml:space="preserve">STJ, REsp 1.783.076/DF</t>
  </si>
  <si>
    <t xml:space="preserve">R681</t>
  </si>
  <si>
    <t xml:space="preserve">Caso 55: Multa de 10%</t>
  </si>
  <si>
    <t xml:space="preserve">Quero cobrar 10% de multa de quem atrasar a taxa de condomínio, para ninguém atrasar mais. Posso? → Resposta: Não: o limite legal é 2%, mais juros. CC, art. 1.336, §1º: o condômino que não pagar sua contribuição fica sujeito a juros e multa de até 2% sobre o débito.</t>
  </si>
  <si>
    <t xml:space="preserve">R682</t>
  </si>
  <si>
    <t xml:space="preserve">Caso 56: O vizinho do 302</t>
  </si>
  <si>
    <t xml:space="preserve">Um morador faz festas toda madrugada, ameaça vizinhos e já foi multado várias vezes. O condomínio pode fazer algo mais? → Resposta: Sim: por comportamento antissocial reiterado, a assembleia pode aplicar multa de até 10 vezes a taxa condominial. CC, art. 1.337, parágrafo único: o condômino antissocial pode ser multado em até o décuplo da contribuição, até ulterior deliberação da assembleia. Cortar água é proibido.</t>
  </si>
  <si>
    <t xml:space="preserve">CC, art. 1.337</t>
  </si>
  <si>
    <t xml:space="preserve">R683</t>
  </si>
  <si>
    <t xml:space="preserve">Caso 57: Reforma com dinheiro público</t>
  </si>
  <si>
    <t xml:space="preserve">O prefeito frequenta o templo da praça e quer pagar a reforma dele com verba da prefeitura. Pode? → Resposta: Não: o Estado é laico e não pode subvencionar cultos. CF, art. 19, I: é vedado ao poder público subvencionar cultos religiosos ou igrejas (ressalvada a colaboração de interesse público, na forma da lei).</t>
  </si>
  <si>
    <t xml:space="preserve">R684</t>
  </si>
  <si>
    <t xml:space="preserve">Caso 58: Pichação no terreiro</t>
  </si>
  <si>
    <t xml:space="preserve">Picharam o muro do nosso terreiro com ofensas à nossa religião. Isso é só vandalismo? → Resposta: É crime de discriminação religiosa, além de dano. Praticar, induzir ou incitar discriminação ou preconceito de religião é crime (Lei 7.716/89, art. 20). A pichação também pode configurar crime de dano ou ambiental.</t>
  </si>
  <si>
    <t xml:space="preserve">R685</t>
  </si>
  <si>
    <t xml:space="preserve">Caso 59: Prova no sábado</t>
  </si>
  <si>
    <t xml:space="preserve">Minha religião guarda o sábado e a prova da escola foi marcada para sábado. Vou ficar com zero? → Resposta: Não: a lei garante prestação alternativa, como prova em outra data. LDB, art. 7º-A (Lei 13.796/2019): ao aluno é assegurado, mediante requerimento, ausentar-se de prova marcada em dia de guarda religiosa, com prestação alternativa.</t>
  </si>
  <si>
    <t xml:space="preserve">Lei 9.394/1996, art. 7º-A</t>
  </si>
  <si>
    <t xml:space="preserve">R686</t>
  </si>
  <si>
    <t xml:space="preserve">Caso 60: Sócio espertinho</t>
  </si>
  <si>
    <t xml:space="preserve">A empresa fechou devendo para todo mundo, mas o sócio usava a conta dela para pagar a casa de praia. Só posso cobrar da empresa vazia? → Resposta: Não: havendo confusão patrimonial, o juiz pode desconsiderar a personalidade jurídica e alcançar os bens do sócio. CC, art. 50: em caso de abuso da personalidade jurídica (desvio de finalidade ou confusão patrimonial), os efeitos de obrigações podem ser estendidos aos bens dos sócios.</t>
  </si>
  <si>
    <t xml:space="preserve">R687</t>
  </si>
  <si>
    <t xml:space="preserve">Caso 61: Crise na empresa</t>
  </si>
  <si>
    <t xml:space="preserve">Minha empresa tem 80 funcionários e está com dívidas, mas o negócio é bom. Existe alternativa à falência? → Resposta: Sim: pedir recuperação judicial para renegociar as dívidas. A recuperação judicial (Lei 11.101/2005) busca viabilizar a superação da crise econômico-financeira, preservando a empresa, os empregos e os interesses dos credores.</t>
  </si>
  <si>
    <t xml:space="preserve">Lei 11.101/2005, art. 47</t>
  </si>
  <si>
    <t xml:space="preserve">R688</t>
  </si>
  <si>
    <t xml:space="preserve">Caso 62: Empresa de um sócio só</t>
  </si>
  <si>
    <t xml:space="preserve">Quero abrir uma empresa sozinho, mas não quero arriscar meu apartamento se o negócio der errado. Preciso arrumar um sócio? → Resposta: Não: desde 2019 a sociedade limitada pode ter um único sócio, com responsabilidade limitada. A Lei 13.874/2019 incluiu o §1º no art. 1.052 do CC: a sociedade limitada pode ser constituída por uma ou mais pessoas.</t>
  </si>
  <si>
    <t xml:space="preserve">CC, art. 1.052, §1º</t>
  </si>
  <si>
    <t xml:space="preserve">R689</t>
  </si>
  <si>
    <t xml:space="preserve">Caso 63: Boate sem vistoria</t>
  </si>
  <si>
    <t xml:space="preserve">Vamos inaugurar a boate no sábado com 500 pessoas. A vistoria de incêndio ainda não saiu, mas é só um detalhe. Posso abrir? → Resposta: Não: locais de reunião de público precisam de prevenção de incêndio vistoriada e licenciada. A Lei 13.425/2017 (Lei Kiss) exige medidas de prevenção e combate a incêndio, com vistoria e licenciamento dos locais de reunião de público.</t>
  </si>
  <si>
    <t xml:space="preserve">Lei 13.425/2017</t>
  </si>
  <si>
    <t xml:space="preserve">R690</t>
  </si>
  <si>
    <t xml:space="preserve">Caso 64: Casas na encosta</t>
  </si>
  <si>
    <t xml:space="preserve">Famílias estão construindo casas numa encosta que desliza quando chove forte. O que a prefeitura deve fazer? → Resposta: Mapear a área de risco, vedar novas ocupações e apoiar a realocação das famílias. Lei 12.608/2012, art. 8º: compete ao município identificar e mapear áreas de risco, fiscalizá-las e vedar novas ocupações, promovendo, quando necessário, a intervenção preventiva e a evacuação.</t>
  </si>
  <si>
    <t xml:space="preserve">R691</t>
  </si>
  <si>
    <t xml:space="preserve">Caso 65: Passou direto</t>
  </si>
  <si>
    <t xml:space="preserve">Um motorista viu um ciclista caído e machucado na estrada e foi embora sem ajudar nem ligar para ninguém. Ele fez algo errado? → Resposta: Sim: omissão de socorro é crime; bastava ligar para o socorro. CP, art. 135: deixar de prestar assistência, quando possível fazê-lo sem risco pessoal, ou não pedir socorro da autoridade pública, é crime.</t>
  </si>
  <si>
    <t xml:space="preserve">R692</t>
  </si>
  <si>
    <t xml:space="preserve">Caso 66: Pilhas velhas</t>
  </si>
  <si>
    <t xml:space="preserve">Tenho uma caixa cheia de pilhas e baterias velhas. Posso jogar no lixo comum? → Resposta: Não: devem voltar ao comércio ou fabricante, que são obrigados a recebê-las (logística reversa). Lei 12.305/2010, art. 33: pilhas e baterias estão sujeitas à logística reversa, e o comércio deve receber os produtos usados.</t>
  </si>
  <si>
    <t xml:space="preserve">Lei 12.305/2010, art. 33</t>
  </si>
  <si>
    <t xml:space="preserve">R693</t>
  </si>
  <si>
    <t xml:space="preserve">Caso 67: Um lixão mais barato</t>
  </si>
  <si>
    <t xml:space="preserve">O aterro sanitário é caro. Que tal jogar o lixo da cidade num terreno afastado, a céu aberto? → Resposta: Não: lixão a céu aberto é proibido pela Política Nacional de Resíduos Sólidos. Lei 12.305/2010, art. 47, II: é proibido o lançamento de resíduos in natura a céu aberto. Além disso, pode configurar crime ambiental (Lei 9.605/98, art. 54).</t>
  </si>
  <si>
    <t xml:space="preserve">R694</t>
  </si>
  <si>
    <t xml:space="preserve">Caso 68: Os catadores</t>
  </si>
  <si>
    <t xml:space="preserve">Somos catadores e queremos trabalhar com a prefeitura na coleta seletiva. A lei permite? → Resposta: Sim: a lei incentiva a integração de cooperativas de catadores, inclusive com contratação dispensada de licitação. A Lei 12.305/2010 prevê a integração dos catadores (art. 7º, XII), e a Lei 14.133/2021 (art. 75, IV, "j") permite contratar suas cooperativas com dispensa de licitação.</t>
  </si>
  <si>
    <t xml:space="preserve">Lei 12.305/2010, art. 7º; Lei 14.133/2021, art. 75</t>
  </si>
  <si>
    <t xml:space="preserve">R695</t>
  </si>
  <si>
    <t xml:space="preserve">Caso 69: Música na festa da cidade</t>
  </si>
  <si>
    <t xml:space="preserve">A prefeitura vai fazer um show gratuito na praça com músicas famosas. Como é de graça, não precisa pagar nada de direito autoral, certo? → Resposta: Errado: execução pública de músicas exige autorização e recolhimento ao ECAD, mesmo em evento gratuito. Lei 9.610/98, arts. 68 e 99: a execução pública em locais de frequência coletiva depende de autorização; o STJ entende que isso vale mesmo sem cobrança de ingresso.</t>
  </si>
  <si>
    <t xml:space="preserve">Lei 9.610/1998, art. 68</t>
  </si>
  <si>
    <t xml:space="preserve">R696</t>
  </si>
  <si>
    <t xml:space="preserve">Caso 70: Machado de Assis no palco</t>
  </si>
  <si>
    <t xml:space="preserve">Queremos encenar "Dom Casmurro", de Machado de Assis, que morreu em 1908. Precisamos pagar direitos autorais? → Resposta: Não: a obra já está em domínio público. Os direitos patrimoniais duram 70 anos após 1º de janeiro do ano seguinte à morte do autor (art. 41). As obras de Machado de Assis estão em domínio público.</t>
  </si>
  <si>
    <t xml:space="preserve">R697</t>
  </si>
  <si>
    <t xml:space="preserve">Caso 71: Foto da internet</t>
  </si>
  <si>
    <t xml:space="preserve">O Centro Cultural usou uma foto minha da internet no cartaz da exposição, sem pedir e sem dar crédito. Isso é permitido? → Resposta: Não: usar a foto exige autorização da autora, e o crédito é obrigatório. A fotografia é obra protegida (Lei 9.610/98, art. 7º, VII). Depende de autorização prévia do autor a reprodução da obra (art. 29), e o nome do autor deve ser indicado (art. 79, §1º).</t>
  </si>
  <si>
    <t xml:space="preserve">Lei 9.610/1998, arts. 7º, 29 e 79</t>
  </si>
  <si>
    <t xml:space="preserve">R698</t>
  </si>
  <si>
    <t xml:space="preserve">Caso 72: Contrato sem licitação</t>
  </si>
  <si>
    <t xml:space="preserve">Uma empresa estadual quer assumir o abastecimento de água da cidade com um contrato assinado direto, sem licitação. Podemos fazer assim? → Resposta: Não: após o Novo Marco, quem não integra a administração municipal precisa de concessão precedida de licitação. Lei 11.445/2007, art. 10 (redação da Lei 14.026/2020): a prestação por entidade que não integre a administração do titular depende de contrato de concessão, mediante prévia licitação; novos contratos de programa ficaram vedados.</t>
  </si>
  <si>
    <t xml:space="preserve">Lei 11.445/2007, art. 10</t>
  </si>
  <si>
    <t xml:space="preserve">R699</t>
  </si>
  <si>
    <t xml:space="preserve">Caso 73: Água turva</t>
  </si>
  <si>
    <t xml:space="preserve">Há uma semana a água da minha torneira sai amarelada e com cheiro forte. A empresa diz que "é normal". Tenho algum direito? → Resposta: Sim: o serviço essencial deve ser adequado e seguro, e ela pode reclamar e pedir reparação. CDC, art. 22: órgãos públicos e concessionárias são obrigados a fornecer serviços adequados, eficientes, seguros e, quanto aos essenciais, contínuos — e respondem pelos danos.</t>
  </si>
  <si>
    <t xml:space="preserve">R700</t>
  </si>
  <si>
    <t xml:space="preserve">Caso 74: Corte por conta antiga</t>
  </si>
  <si>
    <t xml:space="preserve">Estou em dia com as contas atuais, mas a empresa quer cortar minha água por uma dívida de três anos atrás. Pode? → Resposta: Não: o corte, com aviso prévio, só cabe por débito atual; dívida antiga deve ser cobrada pelos meios comuns. Lei 8.987/1995, art. 6º, §3º, II, admite a interrupção por inadimplemento com aviso prévio; o STJ entende que isso vale para débitos atuais, não para dívidas pretéritas.</t>
  </si>
  <si>
    <t xml:space="preserve">Lei 8.987/1995, art. 6º, §3º; jurisprudência do STJ</t>
  </si>
  <si>
    <t xml:space="preserve">R701</t>
  </si>
  <si>
    <t xml:space="preserve">Caso 75: Esgoto no córrego</t>
  </si>
  <si>
    <t xml:space="preserve">A rede de esgoto já passa na minha rua, mas não quero pagar a ligação. Continuo jogando o esgoto no córrego, que é mais barato. Algum problema? → Resposta: Sim: com rede disponível ele deve se ligar a ela, e poluir o córrego pode ser crime. Lei 11.445/2007, art. 45: toda edificação permanente urbana deve se conectar às redes públicas disponíveis. A poluição de recursos hídricos pode configurar o crime do art. 54 da Lei 9.605/98.</t>
  </si>
  <si>
    <t xml:space="preserve">Lei 11.445/2007, art. 45; Lei 9.605/1998, art. 54</t>
  </si>
  <si>
    <t xml:space="preserve">R702</t>
  </si>
  <si>
    <t xml:space="preserve">Caso 76: Efluente da indústria</t>
  </si>
  <si>
    <t xml:space="preserve">Uma indústria está despejando água suja e espumosa no rio, e os peixes estão morrendo. O que a lei diz? → Resposta: É poluição: pode ser crime, a empresa deve reparar o dano e pode ser multada. Causar poluição que resulte em mortandade de animais é crime (Lei 9.605/98, art. 54), e a responsabilidade pela reparação é objetiva (Lei 6.938/81, art. 14, §1º).</t>
  </si>
  <si>
    <t xml:space="preserve">Lei 9.605/1998, art. 54; Lei 6.938/1981</t>
  </si>
  <si>
    <t xml:space="preserve">R703</t>
  </si>
  <si>
    <t xml:space="preserve">Caso 77: Bairro sem rede</t>
  </si>
  <si>
    <t xml:space="preserve">No nosso bairro ainda não chegou rede de esgoto. Usar fossa séptica é ilegal? → Resposta: Não: na falta de rede, soluções individuais são admitidas, seguindo as normas. Lei 11.445/2007, art. 45, §1º: na ausência de redes públicas, são admitidas soluções individuais de esgotamento sanitário, observadas as normas.</t>
  </si>
  <si>
    <t xml:space="preserve">Lei 11.445/2007, art. 45, §1º</t>
  </si>
  <si>
    <t xml:space="preserve">R704</t>
  </si>
  <si>
    <t xml:space="preserve">Caso 78: Sobrou energia</t>
  </si>
  <si>
    <t xml:space="preserve">Coloquei placas solares no telhado e este mês produzi mais energia do que gastei. Perdi o que sobrou? → Resposta: Não: o excedente vira crédito para abater nas próximas contas. Pelo Sistema de Compensação de Energia Elétrica da Lei 14.300/2022, a energia injetada na rede gera créditos para o consumidor.</t>
  </si>
  <si>
    <t xml:space="preserve">Lei 14.300/2022</t>
  </si>
  <si>
    <t xml:space="preserve">R705</t>
  </si>
  <si>
    <t xml:space="preserve">Caso 79: Lei da conta de luz</t>
  </si>
  <si>
    <t xml:space="preserve">Quero aprovar uma lei municipal que reduz pela metade a tarifa de energia da cidade. Vai dar certo? → Resposta: Não: legislar sobre energia é competência da União, e as tarifas são da ANEEL. CF, art. 22, IV: compete privativamente à União legislar sobre energia. A regulação tarifária cabe à ANEEL (Lei 9.427/1996).</t>
  </si>
  <si>
    <t xml:space="preserve">CF, art. 22, IV</t>
  </si>
  <si>
    <t xml:space="preserve">R706</t>
  </si>
  <si>
    <t xml:space="preserve">Caso 80: Geladeira queimada</t>
  </si>
  <si>
    <t xml:space="preserve">Uma queda de energia seguida de pico queimou minha geladeira. A distribuidora diz que não tem nada com isso. Tem? → Resposta: Tem: a concessionária responde objetivamente pelos danos causados aos usuários. As prestadoras de serviço público respondem pelos danos que seus agentes causarem a terceiros, independentemente de culpa (CF, art. 37, §6º; CDC, art. 22, parágrafo único).</t>
  </si>
  <si>
    <t xml:space="preserve">R707</t>
  </si>
  <si>
    <t xml:space="preserve">Caso 81: Taxa de iluminação</t>
  </si>
  <si>
    <t xml:space="preserve">Para pagar os postes novos, que tal criarmos uma "taxa de iluminação pública"? → Resposta: Não pode ser taxa (Súmula Vinculante 41); o município pode instituir a contribuição do art. 149-A. Súmula Vinculante 41 do STF: o serviço de iluminação pública não pode ser remunerado mediante taxa. A Constituição prevê a contribuição de iluminação pública (art. 149-A).</t>
  </si>
  <si>
    <t xml:space="preserve">Súmula Vinculante 41; CF, art. 149-A</t>
  </si>
  <si>
    <t xml:space="preserve">R708</t>
  </si>
  <si>
    <t xml:space="preserve">Caso 82: Rua escura</t>
  </si>
  <si>
    <t xml:space="preserve">Minha rua está sem luz há meses e tenho medo de voltar à noite. A quem devo pedir solução? → Resposta: À prefeitura, responsável pela iluminação pública. A iluminação pública é serviço de interesse local, a cargo do município (CF, art. 30, V), custeado pela contribuição do art. 149-A.</t>
  </si>
  <si>
    <t xml:space="preserve">CF, arts. 30, V e 149-A</t>
  </si>
  <si>
    <t xml:space="preserve">R709</t>
  </si>
  <si>
    <t xml:space="preserve">Caso 83: Cobrança na conta de luz</t>
  </si>
  <si>
    <t xml:space="preserve">Veio na minha conta de luz uma "contribuição de iluminação pública". Isso não é ilegal? → Resposta: É permitido: a Constituição autoriza cobrá-la na fatura de energia. CF, art. 149-A, parágrafo único: é facultada a cobrança da contribuição na fatura de consumo de energia elétrica.</t>
  </si>
  <si>
    <t xml:space="preserve">R710</t>
  </si>
  <si>
    <t xml:space="preserve">Caso 84: Vídeo lento de propósito</t>
  </si>
  <si>
    <t xml:space="preserve">Minha operadora deixa os vídeos de um aplicativo concorrente bem mais lentos que os do aplicativo dela. Pode isso? → Resposta: Não: viola a neutralidade de rede do Marco Civil. Marco Civil da Internet, art. 9º: o responsável pela transmissão deve tratar de forma isonômica quaisquer pacotes de dados, sem distinção por conteúdo, origem, destino, serviço ou aplicação.</t>
  </si>
  <si>
    <t xml:space="preserve">Lei 12.965/2014, art. 9º</t>
  </si>
  <si>
    <t xml:space="preserve">R711</t>
  </si>
  <si>
    <t xml:space="preserve">Caso 85: Registros sem ordem</t>
  </si>
  <si>
    <t xml:space="preserve">Quero que a operadora me entregue agora os registros de conexão de um suspeito, sem passar pelo juiz. Ela é obrigada? → Resposta: Não: em regra, os registros só são entregues com ordem judicial. Marco Civil, art. 10, §1º: o provedor só é obrigado a disponibilizar os registros mediante ordem judicial.</t>
  </si>
  <si>
    <t xml:space="preserve">Lei 12.965/2014, art. 10</t>
  </si>
  <si>
    <t xml:space="preserve">R712</t>
  </si>
  <si>
    <t xml:space="preserve">Caso 86: Internet cortada</t>
  </si>
  <si>
    <t xml:space="preserve">Estou com as contas de internet em dia, mas a operadora suspendeu minha conexão "para manutenção do cadastro". Pode? → Resposta: Não: o usuário tem direito à não suspensão, salvo por débito da própria utilização. Marco Civil, art. 7º, IV: é direito do usuário a não suspensão da conexão, salvo por débito diretamente decorrente de sua utilização.</t>
  </si>
  <si>
    <t xml:space="preserve">Lei 12.965/2014, art. 7º, IV</t>
  </si>
  <si>
    <t xml:space="preserve">R713</t>
  </si>
  <si>
    <t xml:space="preserve">Caso 87: Rua que sempre alaga</t>
  </si>
  <si>
    <t xml:space="preserve">Toda chuva forte a minha rua vira um rio e a loja alaga. Isso é problema só meu? → Resposta: Não: drenagem urbana é saneamento básico e responsabilidade do município. Lei 11.445/2007, art. 3º, I, "d": drenagem e manejo das águas pluviais integram o saneamento básico, de titularidade municipal (art. 8º).</t>
  </si>
  <si>
    <t xml:space="preserve">Lei 11.445/2007, arts. 3º e 8º</t>
  </si>
  <si>
    <t xml:space="preserve">R714</t>
  </si>
  <si>
    <t xml:space="preserve">Caso 88: Shopping todo concretado</t>
  </si>
  <si>
    <t xml:space="preserve">A cobrança de drenagem do shopping veio maior que a das casas. É justo cobrar diferente? → Resposta: Sim: a cobrança pode considerar o percentual de área impermeabilizada do lote. Lei 11.445/2007, art. 36: a cobrança pela drenagem deve levar em conta, em cada lote urbano, o percentual de área impermeabilizada.</t>
  </si>
  <si>
    <t xml:space="preserve">R715</t>
  </si>
  <si>
    <t xml:space="preserve">Caso 89: Prédios na beira do rio</t>
  </si>
  <si>
    <t xml:space="preserve">Queremos aterrar a margem do córrego para construir um estacionamento. Isso não ajuda a cidade a crescer? → Resposta: Não: a margem é Área de Preservação Permanente, e ocupá-la agrava as enchentes. Código Florestal (Lei 12.651/2012, art. 4º): as faixas marginais de cursos d'água são APP. Ocupá-las é ilegal e impermeabiliza áreas que absorvem a chuva.</t>
  </si>
  <si>
    <t xml:space="preserve">R716</t>
  </si>
  <si>
    <t xml:space="preserve">Caso 90: Agrotóxico sem receita</t>
  </si>
  <si>
    <t xml:space="preserve">Quero comprar um agrotóxico forte para a lavoura, mas a loja pediu receita de agrônomo. Isso é exigência mesmo? → Resposta: Sim, a venda depende de receituário agronômico. Agrotóxico só é vendido com receituário agronômico, que indica a dose e o modo de uso seguros. As embalagens vazias devem ser devolvidas.</t>
  </si>
  <si>
    <t xml:space="preserve">R717</t>
  </si>
  <si>
    <t xml:space="preserve">Caso 91: Desmatar para o pasto</t>
  </si>
  <si>
    <t xml:space="preserve">Quero derrubar toda a mata da minha fazenda para aumentar o pasto. A terra é minha, posso? → Resposta: Não: precisa manter a Reserva Legal (em regra, 20%) e as Áreas de Preservação Permanente. A propriedade tem função social. Fora da Amazônia Legal, a Reserva Legal é de 20%, e margens de rios e nascentes são APPs que não podem ser derrubadas.</t>
  </si>
  <si>
    <t xml:space="preserve">Lei 12.651/2012, arts. 4º e 12</t>
  </si>
  <si>
    <t xml:space="preserve">R718</t>
  </si>
  <si>
    <t xml:space="preserve">Caso 92: Merenda da roça</t>
  </si>
  <si>
    <t xml:space="preserve">Posso comprar alface e mandioca da cooperativa da cidade para a merenda, sem fazer licitação comum? → Resposta: Sim: a compra da agricultura familiar para a merenda pode ser feita por chamada pública, sem licitação. A lei do PNAE permite dispensar a licitação nas compras da agricultura familiar, com preços compatíveis com os do mercado, e exige que pelo menos 30% da verba vá para esses produtores.</t>
  </si>
  <si>
    <t xml:space="preserve">R719</t>
  </si>
  <si>
    <t xml:space="preserve">Caso 93: Entrega a qualquer custo</t>
  </si>
  <si>
    <t xml:space="preserve">Meu chefe quer que eu dirija 9 horas sem parar para a carga chegar amanhã cedo. Sou obrigado? → Resposta: Não: o motorista não pode dirigir mais de 5h30 seguidas e tem direito a pausas e ao descanso entre jornadas. O CTB proíbe dirigir mais de 5 horas e meia ininterruptas, e a CLT garante 11 horas de descanso entre jornadas. Cansaço ao volante causa acidentes graves.</t>
  </si>
  <si>
    <t xml:space="preserve">CTB, art. 67-C; CLT, art. 235-C</t>
  </si>
  <si>
    <t xml:space="preserve">R720</t>
  </si>
  <si>
    <t xml:space="preserve">Caso 94: Vazamento no rio</t>
  </si>
  <si>
    <t xml:space="preserve">A indústria vazou produtos químicos no rio e os peixes morreram. A empresa diz que foi acidente e que não teve culpa. Ela tem que pagar? → Resposta: Sim: a responsabilidade ambiental é objetiva e não depende de culpa. Quem polui deve reparar o dano, com ou sem culpa. Os pescadores prejudicados também podem pedir indenização.</t>
  </si>
  <si>
    <t xml:space="preserve">R721</t>
  </si>
  <si>
    <t xml:space="preserve">Caso 95: Lixão escondido</t>
  </si>
  <si>
    <t xml:space="preserve">A empresa contratada pela prefeitura está despejando lixo num terreno baldio fora da cidade para economizar. O que fazemos? → Resposta: Suspender já: lixão é proibido e o lixo tem de ir para o aterro sanitário licenciado. Lançar resíduos a céu aberto e queimá-los ao ar livre são proibidos. O contrato deve ser fiscalizado e a área, recuperada.</t>
  </si>
  <si>
    <t xml:space="preserve">R722</t>
  </si>
  <si>
    <t xml:space="preserve">Caso 96: Taxímetro desligado</t>
  </si>
  <si>
    <t xml:space="preserve">O taxista não ligou o taxímetro e cobrou o dobro do normal. O que posso fazer? → Resposta: Reclamar à prefeitura, que fiscaliza os táxis, e ao Procon: cobrança abusiva é proibida. O Município fiscaliza o serviço de táxi e suas tarifas. Exigir vantagem manifestamente excessiva do consumidor é prática abusiva.</t>
  </si>
  <si>
    <t xml:space="preserve">Lei 12.587/2012, art. 12; CDC, art. 39, V</t>
  </si>
  <si>
    <t xml:space="preserve">R723</t>
  </si>
  <si>
    <t xml:space="preserve">Caso 97: Arranhão no estacionamento</t>
  </si>
  <si>
    <t xml:space="preserve">Deixei meu carro no estacionamento e voltei com a porta amassada. O dono disse que tem uma placa: "não nos responsabilizamos". E agora? → Resposta: O estacionamento responde pelo dano, apesar da placa. Quem oferece estacionamento responde por danos e furtos ali ocorridos, e a cláusula que tenta afastar essa responsabilidade é nula.</t>
  </si>
  <si>
    <t xml:space="preserve">Súmula 130 do STJ; CDC, art. 51, I</t>
  </si>
  <si>
    <t xml:space="preserve">R724</t>
  </si>
  <si>
    <t xml:space="preserve">Caso 98: Gasolina batizada</t>
  </si>
  <si>
    <t xml:space="preserve">Três clientes apareceram com o carro estragado depois de abastecer no mesmo posto. A gasolina tinha álcool demais. E agora? → Resposta: O posto paga os consertos, e a ANP e a polícia devem ser avisadas: vender combustível adulterado é crime. O posto responde pelo vício do produto que vende, e a adulteração de combustível é crime contra a ordem econômica.</t>
  </si>
  <si>
    <t xml:space="preserve">CDC, art. 18; Lei 8.176/1991, art. 1º</t>
  </si>
  <si>
    <t xml:space="preserve">R725</t>
  </si>
  <si>
    <t xml:space="preserve">Caso 99: Horário mudou sem aviso</t>
  </si>
  <si>
    <t xml:space="preserve">A empresa do VLT tirou os trens das 6h sem avisar. Perdi a hora no trabalho. A empresa podia fazer isso? → Resposta: Não: os usuários têm direito a ser informados sobre itinerários, horários e tarifas, e a prefeitura fiscaliza o serviço. O transporte coletivo é serviço público. Mudanças devem ser informadas com antecedência, e o Município, que concede o serviço, deve fiscalizar.</t>
  </si>
  <si>
    <t xml:space="preserve">Lei 12.587/2012, art. 14; CF, art. 30, V</t>
  </si>
  <si>
    <t xml:space="preserve">R726</t>
  </si>
  <si>
    <t xml:space="preserve">Caso 100: Barco lotado</t>
  </si>
  <si>
    <t xml:space="preserve">Um barqueiro quer levar 30 pessoas num barco feito para 15, e não há coletes para todos. Deixamos sair? → Resposta: Não: a Capitania dos Portos pode multar e impedir a viagem, porque viola as normas de segurança da navegação. Lotação, coletes salva-vidas e habilitação são exigências de segurança fiscalizadas pela Marinha.</t>
  </si>
  <si>
    <t xml:space="preserve">R727</t>
  </si>
  <si>
    <t xml:space="preserve">Caso 101: Voo atrasado</t>
  </si>
  <si>
    <t xml:space="preserve">Meu voo está atrasado há 5 horas, já é noite e a companhia não ofereceu nada. Quais são meus direitos? → Resposta: Alimentação e, se precisar pernoitar, hospedagem e transporte; e posso escolher reacomodação, reembolso ou outro meio de transporte. Pela Resolução 400 da ANAC, a assistência material cresce com o tempo de espera, e atraso de mais de 4 horas permite escolher reacomodação, reembolso integral ou outro meio de transporte.</t>
  </si>
  <si>
    <t xml:space="preserve">Resolução ANAC 400/2016, arts. 21 e 27</t>
  </si>
  <si>
    <t xml:space="preserve">R728</t>
  </si>
  <si>
    <t xml:space="preserve">Caso 102: Batida na rotatória</t>
  </si>
  <si>
    <t xml:space="preserve">Eu estava entrando na rotatória e bati num carro que já circulava por ela. Ele diz que a culpa é minha. Quem tinha a preferência? → Resposta: Ele, porque já circulava na rotatória. Na rotatória, a preferência é de quem já está circulando. Quem entra deve esperar a vez.</t>
  </si>
  <si>
    <t xml:space="preserve">R729</t>
  </si>
  <si>
    <t xml:space="preserve">Caso 103: Meia-volta na ponte</t>
  </si>
  <si>
    <t xml:space="preserve">Fui multada porque dei meia-volta no meio da ponte, mesmo sem nenhum carro vindo. A multa é justa? → Resposta: Sim: retornar em ponte é infração gravíssima, mesmo sem movimento. Pontes, viadutos, túneis e curvas não têm espaço nem visibilidade para o retorno. O certo é seguir até um retorno sinalizado ou uma rotatória.</t>
  </si>
  <si>
    <t xml:space="preserve">CTB, arts. 39 e 206, II</t>
  </si>
  <si>
    <t xml:space="preserve">R730</t>
  </si>
  <si>
    <t xml:space="preserve">Caso 104: Tempo vencido</t>
  </si>
  <si>
    <t xml:space="preserve">Um motorista pagou uma hora de Zona Azul e deixou o carro o dia inteiro na vaga. Ele diz que pagou e pronto. Cabe multa? → Resposta: Sim: ficar além do tempo é estacionar em desacordo com a regulamentação da vaga, infração grave. O rotativo existe para as vagas girarem. Passar do tempo pago descumpre a regra da sinalização.</t>
  </si>
  <si>
    <t xml:space="preserve">R731</t>
  </si>
  <si>
    <t xml:space="preserve">Caso 105: Só cinco minutinhos</t>
  </si>
  <si>
    <t xml:space="preserve">Toda vez que chego ao mercado, tem um carro sem credencial na vaga reservada. O dono diz que é rapidinho. O que a lei diz? → Resposta: É infração gravíssima, com remoção do veículo: a fiscalização pode multar e guinchar. A vaga reservada só pode ser usada com credencial. Ocupá-la, mesmo por pouco tempo, tira o acesso de quem precisa.</t>
  </si>
  <si>
    <t xml:space="preserve">CTB, art. 181, XX; Lei 13.146/2015, art. 47</t>
  </si>
  <si>
    <t xml:space="preserve">R732</t>
  </si>
  <si>
    <t xml:space="preserve">Caso 106: Parar ou estacionar?</t>
  </si>
  <si>
    <t xml:space="preserve">Em frente à escola tem placa "Proibido estacionar". Posso parar rapidinho para meu filho descer? → Resposta: Pode: parar só para embarque e desembarque é permitido; estacionar não. Parada é a imobilização só pelo tempo de embarque ou desembarque. A placa R-6a proíbe estacionar; a R-6c proibiria também a parada.</t>
  </si>
  <si>
    <t xml:space="preserve">CTB, Anexo I; art. 181, XVIII</t>
  </si>
  <si>
    <t xml:space="preserve">R733</t>
  </si>
  <si>
    <t xml:space="preserve">Caso 107: Não parou na faixa</t>
  </si>
  <si>
    <t xml:space="preserve">Eu estava atravessando na faixa e um carro passou direto, quase me pegou. O motorista cometeu alguma infração? → Resposta: Sim: deixar de dar preferência ao pedestre na faixa é infração gravíssima. Na faixa sem semáforo, o pedestre tem preferência. O motorista que não para comete infração gravíssima.</t>
  </si>
  <si>
    <t xml:space="preserve">CTB, arts. 70 e 214, I</t>
  </si>
  <si>
    <t xml:space="preserve">R734</t>
  </si>
  <si>
    <t xml:space="preserve">Caso 108: Multa do radar</t>
  </si>
  <si>
    <t xml:space="preserve">Fui multado a 75 km/h na avenida onde a placa marca 60 km/h. Foi só um pouquinho a mais. A multa está certa? → Resposta: Sim: o excesso foi de 25%, entre 20% e 50%, infração grave. O CTB gradua a infração pelo percentual de excesso: até 20% média, de 20% a 50% grave, acima de 50% gravíssima.</t>
  </si>
  <si>
    <t xml:space="preserve">R735</t>
  </si>
  <si>
    <t xml:space="preserve">Caso 109: Fina no ciclista</t>
  </si>
  <si>
    <t xml:space="preserve">Um carro me ultrapassou quase raspando no meu guidão. O motorista diz que eu é que estava atrapalhando. Quem está certo? → Resposta: Eu: ele devia manter 1,5 metro de distância ao ultrapassar. A bicicleta pode circular na via e tem preferência sobre os motorizados. Ultrapassar sem 1,5 metro de distância lateral é infração.</t>
  </si>
  <si>
    <t xml:space="preserve">CTB, arts. 58 e 201</t>
  </si>
  <si>
    <t xml:space="preserve">R736</t>
  </si>
  <si>
    <t xml:space="preserve">Caso 110: Esquina sem rampa</t>
  </si>
  <si>
    <t xml:space="preserve">Na esquina do posto de saúde não tem rampa, e eu não consigo atravessar sozinho. De quem é a obrigação de resolver? → Resposta: Da prefeitura: calçadas e travessias públicas devem ser acessíveis. Acessibilidade é direito, e o poder público deve adaptar calçadas e travessias, com rebaixamento e rampa nas travessias.</t>
  </si>
  <si>
    <t xml:space="preserve">Lei 13.146/2015, art. 53; Lei 10.098/2000; Decreto 5.296/2004, art. 15</t>
  </si>
  <si>
    <t xml:space="preserve">R737</t>
  </si>
  <si>
    <t xml:space="preserve">Caso 111: Cão-guia barrado</t>
  </si>
  <si>
    <t xml:space="preserve">O restaurante da praça não me deixou entrar com o Tobi, meu cão-guia. Disseram que cachorro não entra. Eles podem fazer isso? → Resposta: Não: a lei garante entrar e permanecer com o cão-guia em locais abertos ao público. A Lei 11.126/2005 garante o acesso com cão-guia a ambientes de uso coletivo; impedir é discriminação e sujeita o estabelecimento a punição.</t>
  </si>
  <si>
    <t xml:space="preserve">R738</t>
  </si>
  <si>
    <t xml:space="preserve">Caso 112: Elevador quebrado</t>
  </si>
  <si>
    <t xml:space="preserve">O ônibus chegou com o elevador para cadeira de rodas quebrado, e o motorista seguiu sem me levar. Isso pode acontecer? → Resposta: Não: o transporte coletivo deve ser acessível, e a prefeitura deve fiscalizar e cobrar a empresa. Veículos, terminais e pontos devem ser acessíveis. A empresa concessionária responde pela falha, e o Município, que concede o serviço, fiscaliza.</t>
  </si>
  <si>
    <t xml:space="preserve">Lei 13.146/2015, arts. 46 e 48</t>
  </si>
  <si>
    <t xml:space="preserve">R739</t>
  </si>
  <si>
    <t xml:space="preserve">Caso 113: Atalho pela faixa de ônibus</t>
  </si>
  <si>
    <t xml:space="preserve">O trânsito estava parado e a faixa de ônibus vazia, então eu fui por ela. Levei multa. Mas ela estava livre! → Resposta: A multa é correta: carro na faixa exclusiva de ônibus é infração gravíssima. A faixa exclusiva garante que o ônibus, que leva muita gente, ande mesmo com trânsito. Usá-la com carro é infração gravíssima.</t>
  </si>
  <si>
    <t xml:space="preserve">R740</t>
  </si>
  <si>
    <t xml:space="preserve">Caso 114: Conversão à esquerda</t>
  </si>
  <si>
    <t xml:space="preserve">Eu ia virar à esquerda para entrar numa rua e bati num carro que vinha no sentido contrário. Eu já estava com a seta ligada! De quem é a culpa? → Resposta: Em regra, de quem converteu: na conversão à esquerda é preciso ceder passagem a quem vem em sentido contrário. A seta avisa a manobra, mas não dá preferência. Quem converte à esquerda espera os veículos do sentido contrário, os pedestres e os ciclistas.</t>
  </si>
  <si>
    <t xml:space="preserve">CTB, art. 38, parágrafo único</t>
  </si>
  <si>
    <t xml:space="preserve">R741</t>
  </si>
  <si>
    <t xml:space="preserve">Caso 115: Patinete na calçada</t>
  </si>
  <si>
    <t xml:space="preserve">Um rapaz de patinete elétrico, correndo pela calçada, me derrubou e quebrou meus óculos. Ele disse que patinete não é carro e que não tem nada a ver. E agora? → Resposta: Ele deve indenizar o dano, e na calçada a prioridade é do pedestre. Quem causa dano a outra pessoa por imprudência deve repará-lo. Na calçada, o pedestre tem prioridade, e o Município pode limitar onde e como os patinetes circulam.</t>
  </si>
  <si>
    <t xml:space="preserve">Código Civil, arts. 186 e 927; Resolução Contran 996/2023</t>
  </si>
  <si>
    <t xml:space="preserve">R742</t>
  </si>
  <si>
    <t xml:space="preserve">Caso 116: Entrega sem capacete</t>
  </si>
  <si>
    <t xml:space="preserve">Um entregador novo quer sair sem capacete porque está calor e a entrega é perto. Posso deixar? → Resposta: Não: sem capacete é infração gravíssima com suspensão, e a empresa deve exigir o equipamento de segurança. O capacete é obrigatório para quem pilota e para o passageiro. A atividade de motofrete exige ainda curso e equipamentos de segurança.</t>
  </si>
  <si>
    <t xml:space="preserve">CTB, art. 244, I; Lei 12.009/2009</t>
  </si>
  <si>
    <t xml:space="preserve">R743</t>
  </si>
  <si>
    <t xml:space="preserve">Caso 117: Sinal abriu no meio da travessia</t>
  </si>
  <si>
    <t xml:space="preserve">Eu estava no meio da faixa quando o sinal abriu para os carros, e um motorista buzinou e quase me atropelou. Ele diz que o sinal estava verde para ele. Quem tinha razão? → Resposta: Dona Lurdes: quem não terminou a travessia tem preferência, mesmo com o sinal aberto para os carros. Onde há semáforo, o pedestre que ainda está atravessando tem preferência quando o sinal muda. O motorista deve esperar.</t>
  </si>
  <si>
    <t xml:space="preserve">R744</t>
  </si>
  <si>
    <t xml:space="preserve">Caso 118: Lombada caseira</t>
  </si>
  <si>
    <t xml:space="preserve">Os carros correm muito na nossa rua. Podemos juntar dinheiro e fazer uma lombada de cimento por conta própria? → Resposta: Não: devem pedir à prefeitura, que avalia e instala dentro do padrão do Contran, com sinalização. Obras na via dependem de permissão do órgão de trânsito, e as lombadas seguem os padrões do Contran. Uma lombada fora do padrão pode causar acidentes.</t>
  </si>
  <si>
    <t xml:space="preserve">CTB, arts. 94 e 95; Resolução Contran 600/2016</t>
  </si>
  <si>
    <t xml:space="preserve">R745</t>
  </si>
  <si>
    <t xml:space="preserve">Caso 119: Gratuidade negada</t>
  </si>
  <si>
    <t xml:space="preserve">Fui comprar passagem para visitar minha filha em outro estado. Disseram que as vagas gratuitas acabaram e que eu teria que pagar o preço cheio. Está certo? → Resposta: Não: esgotadas as 2 vagas gratuitas, o idoso de baixa renda tem desconto de pelo menos 50% na passagem. No transporte interestadual, são 2 vagas gratuitas por veículo para idosos de baixa renda e, para os que excederem, desconto mínimo de 50%.</t>
  </si>
  <si>
    <t xml:space="preserve">R746</t>
  </si>
  <si>
    <t xml:space="preserve">Caso 120: Viagem sozinho</t>
  </si>
  <si>
    <t xml:space="preserve">Quero ir sozinho visitar meu avô em outra cidade, longe daqui. Tenho o dinheiro da passagem. O guichê pode me vender? → Resposta: Sem os pais ou responsável, ele só viaja para fora da comarca com autorização expressa deles ou do juiz. Menor de 16 anos não pode viajar para fora da comarca onde mora desacompanhado dos pais ou responsável sem autorização expressa deles ou judicial.</t>
  </si>
  <si>
    <t xml:space="preserve">ECA, art. 83 (Lei 13.812/2019)</t>
  </si>
  <si>
    <t xml:space="preserve">R747</t>
  </si>
  <si>
    <t xml:space="preserve">Caso 121: O bairro quer se separar</t>
  </si>
  <si>
    <t xml:space="preserve">Nosso bairro cresceu muito e queremos virar uma cidade separada. O prefeito pode assinar um decreto criando o novo município? → Resposta: Não: criar município exige lei estadual, estudo de viabilidade e plebiscito com a população. A criação de municípios segue regras rígidas da Constituição para evitar cidades sem condições de se manter.</t>
  </si>
  <si>
    <t xml:space="preserve">R748</t>
  </si>
  <si>
    <t xml:space="preserve">Caso 122: Troca sem defeito</t>
  </si>
  <si>
    <t xml:space="preserve">Comprei um tênis numa loja do shopping, cheguei em casa e não gostei da cor. A loja não quer trocar. Eu não tenho 7 dias para me arrepender? → Resposta: Não: os 7 dias valem para compras fora da loja; na loja física, a troca sem defeito depende do que a loja prometeu. O direito de arrependimento existe porque, fora da loja, o consumidor não viu o produto de perto. Na loja, a troca por gosto é cortesia, mas se a loja anunciou a troca, deve cumprir.</t>
  </si>
  <si>
    <t xml:space="preserve">CDC, arts. 30 e 49</t>
  </si>
  <si>
    <t xml:space="preserve">R749</t>
  </si>
  <si>
    <t xml:space="preserve">Caso 123: Peça proibida?</t>
  </si>
  <si>
    <t xml:space="preserve">Um vereador quer que o teatro municipal cancele nossa peça porque ela faz sátira com os políticos da cidade. Ele pode fazer isso? → Resposta: Não: a Constituição proíbe a censura artística e política. A expressão artística é livre, independentemente de censura ou licença. O teatro público não pode escolher peças para calar críticas.</t>
  </si>
  <si>
    <t xml:space="preserve">CF, arts. 5º, IX, e 220, §2º</t>
  </si>
  <si>
    <t xml:space="preserve">R750</t>
  </si>
  <si>
    <t xml:space="preserve">Caso 124: O casarão tombado</t>
  </si>
  <si>
    <t xml:space="preserve">Herdei um casarão antigo tombado pelo patrimônio. Quero derrubar e fazer um estacionamento. Posso? → Resposta: Não sem autorização do órgão de patrimônio; demolir bem protegido pode ser crime. O tombamento limita o direito de propriedade para proteger a memória coletiva. O dono pode pedir apoio para conservar, mas não pode destruir.</t>
  </si>
  <si>
    <t xml:space="preserve">Decreto-Lei 25/1937; Lei 9.605/1998, art. 62</t>
  </si>
  <si>
    <t xml:space="preserve">R751</t>
  </si>
  <si>
    <t xml:space="preserve">Caso 125: Xerox do livro inteiro</t>
  </si>
  <si>
    <t xml:space="preserve">Um estudante quer tirar xerox do livro inteiro para vender as cópias aos colegas. Posso deixar? → Resposta: Não: a cópia integral para venda viola o direito do autor; pequenos trechos para uso próprio podem. O autor decide sobre a reprodução da obra. A lei permite copiar pequenos trechos para uso privado de quem copia, sem lucro.</t>
  </si>
  <si>
    <t xml:space="preserve">Lei 9.610/1998, arts. 29 e 46</t>
  </si>
  <si>
    <t xml:space="preserve">R752</t>
  </si>
  <si>
    <t xml:space="preserve">Caso 126: Ingresso pelo dobro</t>
  </si>
  <si>
    <t xml:space="preserve">Os ingressos da final esgotaram e um homem na porta do estádio está vendendo pelo dobro do preço. Isso é permitido? → Resposta: Não: vender ingresso acima do preço do bilhete é cambismo, um crime. O cambismo prejudica o torcedor e é crime pela Lei Geral do Esporte. O caso deve ser comunicado à polícia.</t>
  </si>
  <si>
    <t xml:space="preserve">R753</t>
  </si>
  <si>
    <t xml:space="preserve">Caso 127: A quadra fechada</t>
  </si>
  <si>
    <t xml:space="preserve">A prefeitura fechou a única quadra do bairro e disse que não há verba para consertar. Temos direito de reclamar? → Resposta: Sim: lazer é direito social e o esporte de crianças e adolescentes é prioridade. A Constituição inclui o lazer entre os direitos sociais, e o ECA dá prioridade às crianças e aos adolescentes no acesso ao esporte. A comunidade pode cobrar e até procurar o Ministério Público.</t>
  </si>
  <si>
    <t xml:space="preserve">CF, arts. 6º e 217, §3º; ECA, arts. 4º e 59</t>
  </si>
  <si>
    <t xml:space="preserve">R754</t>
  </si>
  <si>
    <t xml:space="preserve">Caso 128: Ofensa na quadra</t>
  </si>
  <si>
    <t xml:space="preserve">No campeonato do bairro, um torcedor me xingou com ofensas racistas. Disseram que isso faz parte do jogo. É verdade? → Resposta: Não: ofensa racista é crime de racismo, inafiançável e imprescritível. Desde a Lei 14.532/2023, a injúria racial é equiparada ao racismo. Deve-se registrar ocorrência, e a organização pode punir o torcedor.</t>
  </si>
  <si>
    <t xml:space="preserve">CF, art. 5º, XLII; Lei 7.716/1989 (com a Lei 14.532/2023)</t>
  </si>
  <si>
    <t xml:space="preserve">Injúria racial equiparada ao racismo (Lei 14.532/2023): conferir redação.</t>
  </si>
  <si>
    <t xml:space="preserve">R755</t>
  </si>
  <si>
    <t xml:space="preserve">Caso 129: A corredora campeã</t>
  </si>
  <si>
    <t xml:space="preserve">Fui campeã estadual dos 400 metros, mas não tenho dinheiro para viajar para as competições. Existe alguma ajuda? → Resposta: Ela pode pedir o Bolsa Atleta, se cumprir os requisitos. O Bolsa Atleta apoia atletas com bons resultados em competições, das categorias de base às olímpicas e paralímpicas.</t>
  </si>
  <si>
    <t xml:space="preserve">R756</t>
  </si>
  <si>
    <t xml:space="preserve">Audiência 1: A geladeira que parou</t>
  </si>
  <si>
    <t xml:space="preserve">Audiência no Fórum</t>
  </si>
  <si>
    <t xml:space="preserve">Comprei uma geladeira e ela parou com 20 dias. A loja diz que eu tenho que me virar com o fabricante. / Nós só revendemos. O defeito é de fábrica, a responsabilidade é do fabricante. → Decisão: Loja e fabricante respondem juntos pelo defeito; se não consertarem em 30 dias, a consumidora escolhe troca, devolução do dinheiro ou abatimento. Pelo vício do produto respondem solidariamente todos os fornecedores da cadeia, inclusive o comerciante. Se o defeito não for sanado em 30 dias, a escolha é do consumidor.</t>
  </si>
  <si>
    <t xml:space="preserve">CDC, art. 18, caput e §1º</t>
  </si>
  <si>
    <t xml:space="preserve">R757</t>
  </si>
  <si>
    <t xml:space="preserve">Audiência 2: Festa todo fim de semana</t>
  </si>
  <si>
    <t xml:space="preserve">Toda sexta e todo sábado tem som altíssimo até as 4 da manhã na casa ao lado. Ninguém consegue dormir. / A casa é minha. Na minha propriedade eu faço o que eu quiser. → Decisão: O vizinho pode exigir que pare: o uso que prejudica o sossego dos vizinhos é anormal e pode ser impedido. O direito de propriedade tem limites: o vizinho pode fazer cessar as interferências prejudiciais ao sossego, à saúde e à segurança.</t>
  </si>
  <si>
    <t xml:space="preserve">Código Civil, art. 1.277</t>
  </si>
  <si>
    <t xml:space="preserve">R758</t>
  </si>
  <si>
    <t xml:space="preserve">Audiência 3: Dois anos sem carteira</t>
  </si>
  <si>
    <t xml:space="preserve">Trabalhei dois anos na casa dele, de segunda a sexta, com salário todo mês, e nunca assinaram minha carteira. / Ela me ajudava. Era um favor, não um emprego. → Decisão: Há vínculo de emprego doméstico: trabalho contínuo, pessoal, subordinado e pago dá direito a registro, férias, 13º e FGTS. O emprego doméstico existe quando o serviço é contínuo (mais de 2 dias por semana), pessoal, subordinado e remunerado, mesmo sem contrato escrito.</t>
  </si>
  <si>
    <t xml:space="preserve">LC 150/2015, art. 1º; CLT, art. 3º</t>
  </si>
  <si>
    <t xml:space="preserve">R759</t>
  </si>
  <si>
    <t xml:space="preserve">Audiência 4: A pensão atrasada</t>
  </si>
  <si>
    <t xml:space="preserve">Direito de Família</t>
  </si>
  <si>
    <t xml:space="preserve">O pai do meu filho parou de pagar a pensão há três meses. Ele diz que perdeu o emprego. / Fiquei desempregado. Sem salário, parei de pagar e pronto. → Decisão: A pensão continua devida até a Justiça mudar o valor; ele pode pedir revisão, mas não pode simplesmente parar, e a dívida pode até levar à prisão civil. Se a situação financeira muda, o devedor pode pedir a revisão do valor na Justiça. Enquanto isso, a pensão fixada continua valendo, e o atraso pode levar à prisão civil.</t>
  </si>
  <si>
    <t xml:space="preserve">Código Civil, art. 1.699; CPC, art. 528; CF, art. 5º, LXVII</t>
  </si>
  <si>
    <t xml:space="preserve">R760</t>
  </si>
  <si>
    <t xml:space="preserve">Audiência 5: O rio contaminado</t>
  </si>
  <si>
    <t xml:space="preserve">A fábrica jogou resíduos no rio e os peixes morreram. Perdemos nosso sustento. / Nós temos licença ambiental. Se a prefeitura deixou funcionar, não temos culpa. → Decisão: A empresa responde mesmo com licença: a responsabilidade ambiental é objetiva, e ela deve reparar o rio e indenizar os pescadores. Ter licença não autoriza poluir nem afasta o dever de reparar: quem causa o dano ambiental responde independentemente de culpa.</t>
  </si>
  <si>
    <t xml:space="preserve">R761</t>
  </si>
  <si>
    <t xml:space="preserve">Ocorrência (incendio) 1: Incêndio no prédio</t>
  </si>
  <si>
    <t xml:space="preserve">Defesa Civil e Direito Penal</t>
  </si>
  <si>
    <t xml:space="preserve">Ocorrência</t>
  </si>
  <si>
    <t xml:space="preserve">Um prédio da cidade pegou fogo. A vistoria mostrou que o alvará do Corpo de Bombeiros estava vencido havia dois anos. O que a lei diz? → Resposta: Imóveis de uso coletivo precisam de licença dos Bombeiros em dia; a prefeitura deve fiscalizar e o dono responde pela irregularidade. A Lei Kiss obriga os municípios a exigir as medidas de prevenção e combate a incêndio, com aprovação do Corpo de Bombeiros, e a fiscalizar os estabelecimentos.</t>
  </si>
  <si>
    <t xml:space="preserve">Lei 13.425/2017, arts. 2º e 3º</t>
  </si>
  <si>
    <t xml:space="preserve">R762</t>
  </si>
  <si>
    <t xml:space="preserve">Ocorrência (incendio) 2: Quem ajuda?</t>
  </si>
  <si>
    <t xml:space="preserve">Vi o fogo começando e uma pessoa presa na janela, mas fiquei com medo e fui embora sem chamar ninguém. Fiz algo errado? → Resposta: Sim: deixar de prestar socorro, ou de pedir ajuda às autoridades quando é possível fazê-lo sem risco, é crime de omissão de socorro. Ninguém precisa se arriscar, mas quem pode deve ao menos pedir socorro à autoridade pública (ligar 193). Não fazer nada é omissão de socorro.</t>
  </si>
  <si>
    <t xml:space="preserve">Código Penal, art. 135</t>
  </si>
  <si>
    <t xml:space="preserve">R763</t>
  </si>
  <si>
    <t xml:space="preserve">Ocorrência (acidente) 1: Batida na avenida</t>
  </si>
  <si>
    <t xml:space="preserve">Trânsito (CTB)</t>
  </si>
  <si>
    <t xml:space="preserve">Dois carros bateram sem feridos e os motoristas querem deixar os carros no meio da pista até a perícia chegar. Está certo? → Resposta: Não: sem vítimas, os carros devem ser retirados da pista para liberar o trânsito, e o acidente é registrado depois. Em acidente sem vítima, o condutor deve adotar providências para remover o veículo do local quando necessário para a segurança e a fluidez do trânsito.</t>
  </si>
  <si>
    <t xml:space="preserve">CTB, art. 178</t>
  </si>
  <si>
    <t xml:space="preserve">R764</t>
  </si>
  <si>
    <t xml:space="preserve">Ocorrência (acidente) 2: Fugiu do local</t>
  </si>
  <si>
    <t xml:space="preserve">Um motorista atropelou um ciclista e foi embora sem prestar socorro. O que ele fez? → Resposta: Cometeu crime: deixar de prestar socorro à vítima e fugir do local do acidente são crimes de trânsito. O condutor envolvido em acidente com vítima deve prestar socorro (ou pedir ajuda) e não pode fugir para escapar da responsabilidade.</t>
  </si>
  <si>
    <t xml:space="preserve">CTB, arts. 176, 304 e 305</t>
  </si>
  <si>
    <t xml:space="preserve">R765</t>
  </si>
  <si>
    <t xml:space="preserve">Ocorrência (acidente) 3: Sinalizar o acidente</t>
  </si>
  <si>
    <t xml:space="preserve">Meu carro quebrou depois da batida e ficou parado na pista. Preciso fazer alguma coisa antes de o guincho chegar? → Resposta: Sim: ligar o pisca-alerta e colocar o triângulo de sinalização a uma distância que avise quem vem atrás. O veículo imobilizado na via deve ser sinalizado com o pisca-alerta e o triângulo, para evitar novos acidentes.</t>
  </si>
  <si>
    <t xml:space="preserve">CTB, arts. 40, V, e 46</t>
  </si>
  <si>
    <t xml:space="preserve">R766</t>
  </si>
  <si>
    <t xml:space="preserve">Bairro Bairro Oeste › Plano Diretor, ponto 1</t>
  </si>
  <si>
    <t xml:space="preserve">Direito Urbanístico</t>
  </si>
  <si>
    <t xml:space="preserve">Lei do bairro</t>
  </si>
  <si>
    <t xml:space="preserve">O Plano Diretor é a lei municipal que organiza o crescimento da cidade: onde pode haver casas, comércio, indústria e áreas verdes.</t>
  </si>
  <si>
    <t xml:space="preserve">CF, art. 182; Lei 10.257/2001</t>
  </si>
  <si>
    <t xml:space="preserve">R767</t>
  </si>
  <si>
    <t xml:space="preserve">Bairro Bairro Oeste › Plano Diretor, ponto 2</t>
  </si>
  <si>
    <t xml:space="preserve">Ele é obrigatório para cidades com mais de 20 mil habitantes (CF, art. 182, §1º) e deve ser revisto pelo menos a cada 10 anos (Estatuto da Cidade, Lei 10.257/2001, art. 40, §3º).</t>
  </si>
  <si>
    <t xml:space="preserve">R768</t>
  </si>
  <si>
    <t xml:space="preserve">Bairro Bairro Oeste › Plano Diretor, ponto 3</t>
  </si>
  <si>
    <t xml:space="preserve">A população deve participar da sua elaboração, com audiências públicas (Estatuto da Cidade, art. 40, §4º).</t>
  </si>
  <si>
    <t xml:space="preserve">R769</t>
  </si>
  <si>
    <t xml:space="preserve">Bairro Vila Norte › Desapropriação, ponto 1</t>
  </si>
  <si>
    <t xml:space="preserve">O poder público pode tomar um imóvel particular por necessidade ou utilidade pública, ou por interesse social — é a desapropriação.</t>
  </si>
  <si>
    <t xml:space="preserve">CF, art. 5º, XXIV; DL 3.365/1941</t>
  </si>
  <si>
    <t xml:space="preserve">R770</t>
  </si>
  <si>
    <t xml:space="preserve">Bairro Vila Norte › Desapropriação, ponto 2</t>
  </si>
  <si>
    <t xml:space="preserve">O dono deve receber justa e prévia indenização em dinheiro (CF, art. 5º, XXIV), salvo as exceções da própria Constituição.</t>
  </si>
  <si>
    <t xml:space="preserve">R771</t>
  </si>
  <si>
    <t xml:space="preserve">Bairro Vila Norte › Desapropriação, ponto 3</t>
  </si>
  <si>
    <t xml:space="preserve">As regras do procedimento estão no Decreto-Lei 3.365/1941, e o dono pode discutir o valor na Justiça.</t>
  </si>
  <si>
    <t xml:space="preserve">R772</t>
  </si>
  <si>
    <t xml:space="preserve">Bairro Jardim Sul › Loteamento e parcelamento do solo, ponto 1</t>
  </si>
  <si>
    <t xml:space="preserve">Dividir uma gleba em lotes com abertura de ruas é loteamento, e depende de aprovação da prefeitura (Lei 6.766/1979, art. 12).</t>
  </si>
  <si>
    <t xml:space="preserve">Lei 6.766/1979</t>
  </si>
  <si>
    <t xml:space="preserve">R773</t>
  </si>
  <si>
    <t xml:space="preserve">Bairro Jardim Sul › Loteamento e parcelamento do solo, ponto 2</t>
  </si>
  <si>
    <t xml:space="preserve">Em regra, cada lote deve ter no mínimo 125 m² e 5 metros de frente (Lei 6.766/1979, art. 4º, II).</t>
  </si>
  <si>
    <t xml:space="preserve">R774</t>
  </si>
  <si>
    <t xml:space="preserve">Bairro Jardim Sul › Loteamento e parcelamento do solo, ponto 3</t>
  </si>
  <si>
    <t xml:space="preserve">Vender lotes de loteamento não aprovado — o "loteamento clandestino" — é crime (Lei 6.766/1979, art. 50).</t>
  </si>
  <si>
    <t xml:space="preserve">R775</t>
  </si>
  <si>
    <t xml:space="preserve">Bairro Beira-Rio › Função social da propriedade urbana, ponto 1</t>
  </si>
  <si>
    <t xml:space="preserve">A propriedade urbana cumpre sua função social quando atende às exigências do Plano Diretor (CF, art. 182, §2º).</t>
  </si>
  <si>
    <t xml:space="preserve">CF, art. 182, §4º; Lei 10.257/2001</t>
  </si>
  <si>
    <t xml:space="preserve">R776</t>
  </si>
  <si>
    <t xml:space="preserve">Bairro Beira-Rio › Função social da propriedade urbana, ponto 2</t>
  </si>
  <si>
    <t xml:space="preserve">Terreno vazio ou subutilizado pode ser obrigado a ser parcelado ou edificado; se o dono não cumprir, paga IPTU progressivo no tempo (CF, art. 182, §4º).</t>
  </si>
  <si>
    <t xml:space="preserve">R777</t>
  </si>
  <si>
    <t xml:space="preserve">Bairro Beira-Rio › Função social da propriedade urbana, ponto 3</t>
  </si>
  <si>
    <t xml:space="preserve">O IPTU progressivo pode chegar a 15% do valor do imóvel, por até 5 anos, e depois cabe desapropriação paga com títulos da dívida pública (Estatuto da Cidade, arts. 7º e 8º).</t>
  </si>
  <si>
    <t xml:space="preserve">R778</t>
  </si>
  <si>
    <t xml:space="preserve">Bairro Chácaras do Oeste › Zona urbana e zona rural: IPTU ou ITR?, ponto 1</t>
  </si>
  <si>
    <t xml:space="preserve">Quem define a zona urbana é a lei municipal. Nela o imóvel paga IPTU, imposto do Município (CF, art. 156, I); na zona rural paga ITR, imposto da União (CF, art. 153, VI).</t>
  </si>
  <si>
    <t xml:space="preserve">CF, arts. 153, VI, e 156, I; CTN, art. 32</t>
  </si>
  <si>
    <t xml:space="preserve">R779</t>
  </si>
  <si>
    <t xml:space="preserve">Bairro Chácaras do Oeste › Zona urbana e zona rural: IPTU ou ITR?, ponto 2</t>
  </si>
  <si>
    <t xml:space="preserve">Para cobrar IPTU, a área precisa ter pelo menos dois melhoramentos públicos, como calçamento, água, esgoto, iluminação ou escola a até 3 km (CTN, art. 32, §1º).</t>
  </si>
  <si>
    <t xml:space="preserve">R780</t>
  </si>
  <si>
    <t xml:space="preserve">Bairro Chácaras do Oeste › Zona urbana e zona rural: IPTU ou ITR?, ponto 3</t>
  </si>
  <si>
    <t xml:space="preserve">Sítio usado de verdade para agricultura ou pecuária continua pagando ITR, mesmo dentro da zona urbana (DL 57/1966, art. 15; STJ, REsp 1.112.646).</t>
  </si>
  <si>
    <t xml:space="preserve">R781</t>
  </si>
  <si>
    <t xml:space="preserve">Bairro Serra Norte › Áreas protegidas e mananciais, ponto 1</t>
  </si>
  <si>
    <t xml:space="preserve">A Serra tem nascentes e represas que abastecem a cidade. O Município pode criar uma unidade de conservação, como um parque natural ou uma Área de Proteção Ambiental (Lei 9.985/2000, o SNUC).</t>
  </si>
  <si>
    <t xml:space="preserve">Lei 9.985/2000; Lei 12.651/2012, art. 4º</t>
  </si>
  <si>
    <t xml:space="preserve">R782</t>
  </si>
  <si>
    <t xml:space="preserve">Bairro Serra Norte › Áreas protegidas e mananciais, ponto 2</t>
  </si>
  <si>
    <t xml:space="preserve">Em volta de nascentes, a faixa de 50 metros é Área de Preservação Permanente (Código Florestal, Lei 12.651/2012, art. 4º, IV).</t>
  </si>
  <si>
    <t xml:space="preserve">R783</t>
  </si>
  <si>
    <t xml:space="preserve">Bairro Serra Norte › Áreas protegidas e mananciais, ponto 3</t>
  </si>
  <si>
    <t xml:space="preserve">Ocupar ou desmatar área protegida sem autorização é infração e pode ser crime ambiental (Lei 9.605/1998, arts. 38 e 40).</t>
  </si>
  <si>
    <t xml:space="preserve">R784</t>
  </si>
  <si>
    <t xml:space="preserve">Bairro Distrito Industrial › Estudo de Impacto de Vizinhança e licenciamento, ponto 1</t>
  </si>
  <si>
    <t xml:space="preserve">Empreendimentos que mudam a vida do bairro, como trânsito, barulho e valor dos imóveis, dependem do Estudo de Impacto de Vizinhança, o EIV (Estatuto da Cidade, arts. 36 a 38).</t>
  </si>
  <si>
    <t xml:space="preserve">Lei 10.257/2001, arts. 36–38; LC 140/2011</t>
  </si>
  <si>
    <t xml:space="preserve">R785</t>
  </si>
  <si>
    <t xml:space="preserve">Bairro Distrito Industrial › Estudo de Impacto de Vizinhança e licenciamento, ponto 2</t>
  </si>
  <si>
    <t xml:space="preserve">Atividades que podem poluir precisam de licença ambiental: prévia, de instalação e de operação (Resolução CONAMA 237/1997).</t>
  </si>
  <si>
    <t xml:space="preserve">R786</t>
  </si>
  <si>
    <t xml:space="preserve">Bairro Distrito Industrial › Estudo de Impacto de Vizinhança e licenciamento, ponto 3</t>
  </si>
  <si>
    <t xml:space="preserve">O Município licencia as atividades de impacto local, conforme a Lei Complementar 140/2011 (art. 9º, XIV).</t>
  </si>
  <si>
    <t xml:space="preserve">R787</t>
  </si>
  <si>
    <t xml:space="preserve">Bairro Vila Esperança › Regularização fundiária (Reurb), ponto 1</t>
  </si>
  <si>
    <t xml:space="preserve">Muitas famílias moram em núcleos informais, sem escritura. A Reurb transforma essas áreas em bairros regulares, com registro em nome dos moradores (Lei 13.465/2017).</t>
  </si>
  <si>
    <t xml:space="preserve">Lei 13.465/2017</t>
  </si>
  <si>
    <t xml:space="preserve">R788</t>
  </si>
  <si>
    <t xml:space="preserve">Bairro Vila Esperança › Regularização fundiária (Reurb), ponto 2</t>
  </si>
  <si>
    <t xml:space="preserve">Na Reurb de interesse social (Reurb-S), para a população de baixa renda, o registro e as obras básicas não custam nada aos moradores (Lei 13.465/2017, arts. 13 e 33).</t>
  </si>
  <si>
    <t xml:space="preserve">R789</t>
  </si>
  <si>
    <t xml:space="preserve">Bairro Vila Esperança › Regularização fundiária (Reurb), ponto 3</t>
  </si>
  <si>
    <t xml:space="preserve">O título dado aos moradores é a legitimação fundiária ou a de posse, registradas no Cartório de Imóveis (Lei 13.465/2017, arts. 23 e 25).</t>
  </si>
  <si>
    <t xml:space="preserve">R790</t>
  </si>
  <si>
    <t xml:space="preserve">Projeto de lei: Horário do comércio</t>
  </si>
  <si>
    <t xml:space="preserve">Processo legislativo</t>
  </si>
  <si>
    <t xml:space="preserve">Projeto de lei</t>
  </si>
  <si>
    <t xml:space="preserve">Fixa o horário de funcionamento das lojas da cidade, com abertura aos domingos das 9h às 14h. → Constitucional. Compete ao município fixar o horário de funcionamento do comércio local (Súmula Vinculante 38 do STF).</t>
  </si>
  <si>
    <t xml:space="preserve">Súmula Vinculante 38; CF, art. 30, I</t>
  </si>
  <si>
    <t xml:space="preserve">R791</t>
  </si>
  <si>
    <t xml:space="preserve">Projeto de lei: Lei da Fila no Banco</t>
  </si>
  <si>
    <t xml:space="preserve">Obriga as agências bancárias da cidade a atender o cliente em até 20 minutos de fila. → Constitucional. O STF reconheceu que o município pode legislar sobre o tempo máximo de espera em filas de agências bancárias, por ser assunto de interesse local (RE 610.221, Tema 272).</t>
  </si>
  <si>
    <t xml:space="preserve">CF, art. 30, I; STF, Tema 272</t>
  </si>
  <si>
    <t xml:space="preserve">R792</t>
  </si>
  <si>
    <t xml:space="preserve">Projeto de lei: Proibição de aplicativos de transporte</t>
  </si>
  <si>
    <t xml:space="preserve">Proíbe motoristas de aplicativo de transportar passageiros na cidade, para proteger os táxis. → Inconstitucional. O STF decidiu que proibir ou restringir de forma desproporcional o transporte por aplicativo viola a livre iniciativa e a livre concorrência (ADPF 449 e RE 1.054.110, Tema 967).</t>
  </si>
  <si>
    <t xml:space="preserve">CF, art. 170; STF, Tema 967</t>
  </si>
  <si>
    <t xml:space="preserve">R793</t>
  </si>
  <si>
    <t xml:space="preserve">Projeto de lei: Estacionamento grátis no shopping</t>
  </si>
  <si>
    <t xml:space="preserve">Obriga shoppings e supermercados a oferecer estacionamento gratuito aos clientes. → Inconstitucional. Leis locais que impõem gratuidade em estacionamentos privados invadem a competência da União para legislar sobre direito civil e já foram derrubadas pelo STF (CF, art. 22, I).</t>
  </si>
  <si>
    <t xml:space="preserve">R794</t>
  </si>
  <si>
    <t xml:space="preserve">Projeto de lei: IPTU Verde</t>
  </si>
  <si>
    <t xml:space="preserve">Dá desconto no IPTU para imóveis com árvores na calçada, energia solar ou captação de água da chuva. → Constitucional. O IPTU é imposto municipal (CF, art. 156, I), e benefícios fiscais podem ser concedidos por lei específica (CF, art. 150, §6º), inclusive com finalidade ambiental.</t>
  </si>
  <si>
    <t xml:space="preserve">CF, arts. 150, §6º e 156, I</t>
  </si>
  <si>
    <t xml:space="preserve">R795</t>
  </si>
  <si>
    <t xml:space="preserve">Projeto de lei: Lei do Silêncio</t>
  </si>
  <si>
    <t xml:space="preserve">Limita o volume de som em bares e festas depois das 22h, com multa para quem descumprir. → Constitucional. Controlar a poluição sonora é assunto de interesse local e de proteção ambiental, de competência do município (CF, arts. 23, VI e 30, I).</t>
  </si>
  <si>
    <t xml:space="preserve">CF, arts. 23, VI e 30, I</t>
  </si>
  <si>
    <t xml:space="preserve">R796</t>
  </si>
  <si>
    <t xml:space="preserve">Projeto de lei: Prisão por jogar lixo na rua</t>
  </si>
  <si>
    <t xml:space="preserve">Cria pena de 2 anos de prisão para quem jogar lixo na rua. → Inconstitucional. Só a União pode legislar sobre direito penal (CF, art. 22, I). O município pode, porém, aplicar multas administrativas.</t>
  </si>
  <si>
    <t xml:space="preserve">R797</t>
  </si>
  <si>
    <t xml:space="preserve">Projeto de lei: Mandato de 6 anos</t>
  </si>
  <si>
    <t xml:space="preserve">Aumenta o mandato do prefeito e dos vereadores para 6 anos. → Inconstitucional. A Constituição fixa mandato de 4 anos para prefeito, vice e vereadores (CF, art. 29, I). Lei municipal não pode mudar isso.</t>
  </si>
  <si>
    <t xml:space="preserve">R798</t>
  </si>
  <si>
    <t xml:space="preserve">Projeto de lei: Acessibilidade nos prédios públicos</t>
  </si>
  <si>
    <t xml:space="preserve">Exige rampas, piso tátil e banheiros adaptados em todos os prédios públicos municipais em até 2 anos. → Constitucional. A acessibilidade é dever do poder público (CF, arts. 227, §2º e 244; Lei 13.146/2015), e o município pode regulamentar seus próprios prédios.</t>
  </si>
  <si>
    <t xml:space="preserve">CF, art. 244; Lei 13.146/2015</t>
  </si>
  <si>
    <t xml:space="preserve">R799</t>
  </si>
  <si>
    <t xml:space="preserve">Evento: 🎊 Carnaval na cidade!</t>
  </si>
  <si>
    <t xml:space="preserve">Eventos</t>
  </si>
  <si>
    <t xml:space="preserve">Dica de lei do evento</t>
  </si>
  <si>
    <t xml:space="preserve">Os blocos tomaram as ruas e a cidade está animada. Reuniões pacíficas em locais públicos não precisam de autorização, apenas de aviso prévio à autoridade (CF, art. 5º, XVI).</t>
  </si>
  <si>
    <t xml:space="preserve">R800</t>
  </si>
  <si>
    <t xml:space="preserve">Evento: 🎉 Festa Junina na praça!</t>
  </si>
  <si>
    <t xml:space="preserve">Quadrilha, quentão e fogueira: a felicidade subiu. Tocar músicas em festa pública exige autorização e pagamento ao ECAD, mesmo sem ingresso (Lei 9.610/1998, art. 68).</t>
  </si>
  <si>
    <t xml:space="preserve">R801</t>
  </si>
  <si>
    <t xml:space="preserve">Evento: 🗳️ Eleições municipais!</t>
  </si>
  <si>
    <t xml:space="preserve">A cidade foi às urnas para escolher prefeito(a) e vereadores. Prefeitos podem ser reeleitos para um único período subsequente (CF, art. 14, §5º). O voto é obrigatório dos 18 aos 70 anos e facultativo para analfabetos, maiores de 70 e jovens de 16 e 17 anos (CF, art. 14, §1º).</t>
  </si>
  <si>
    <t xml:space="preserve">R802</t>
  </si>
  <si>
    <t xml:space="preserve">Evento: ⛈️ Temporal!</t>
  </si>
  <si>
    <t xml:space="preserve">Uma chuva forte alagou ruas e derrubou árvores. O município deve mapear áreas de risco e manter planos de contingência da Defesa Civil (Lei 12.608/2012, art. 8º).</t>
  </si>
  <si>
    <t xml:space="preserve">R803</t>
  </si>
  <si>
    <t xml:space="preserve">Evento: 🔎 Auditoria do Tribunal de Contas</t>
  </si>
  <si>
    <t xml:space="preserve">Os auditores analisaram as contas da prefeitura. A Câmara Municipal julga as contas do prefeito com parecer prévio do Tribunal de Contas, que só deixa de prevalecer por 2/3 dos vereadores (CF, art. 31, §2º).</t>
  </si>
  <si>
    <t xml:space="preserve">Andamento da revisão</t>
  </si>
  <si>
    <t xml:space="preserve">Correto</t>
  </si>
  <si>
    <t xml:space="preserve">Corrigir</t>
  </si>
  <si>
    <t xml:space="preserve">Desatualizado</t>
  </si>
  <si>
    <t xml:space="preserve">Simplificar/esclarecer</t>
  </si>
  <si>
    <t xml:space="preserve">Total</t>
  </si>
  <si>
    <t xml:space="preserve">% revisado</t>
  </si>
  <si>
    <t xml:space="preserve">Itens com prioridade Alta ainda a revisar</t>
  </si>
  <si>
    <t xml:space="preserve">Itens marcados em "Atenção" ainda a revisar</t>
  </si>
</sst>
</file>

<file path=xl/styles.xml><?xml version="1.0" encoding="utf-8"?>
<styleSheet xmlns="http://schemas.openxmlformats.org/spreadsheetml/2006/main">
  <numFmts count="4">
    <numFmt numFmtId="164" formatCode="General"/>
    <numFmt numFmtId="165" formatCode="dd/mm/yyyy"/>
    <numFmt numFmtId="166" formatCode="General"/>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8245FC"/>
      <name val="Arial"/>
      <family val="0"/>
      <charset val="1"/>
    </font>
    <font>
      <sz val="11"/>
      <name val="Arial"/>
      <family val="0"/>
      <charset val="1"/>
    </font>
    <font>
      <b val="true"/>
      <sz val="11"/>
      <name val="Arial"/>
      <family val="0"/>
      <charset val="1"/>
    </font>
    <font>
      <i val="true"/>
      <sz val="11"/>
      <color rgb="FF555555"/>
      <name val="Arial"/>
      <family val="0"/>
      <charset val="1"/>
    </font>
    <font>
      <i val="true"/>
      <sz val="11"/>
      <color rgb="FF777777"/>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8245FC"/>
        <bgColor rgb="FF993366"/>
      </patternFill>
    </fill>
    <fill>
      <patternFill patternType="solid">
        <fgColor rgb="FFFFF7CC"/>
        <bgColor rgb="FFFCE8C8"/>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8245FC"/>
          <bgColor rgb="FF000000"/>
        </patternFill>
      </fill>
    </dxf>
    <dxf>
      <fill>
        <patternFill patternType="solid">
          <bgColor rgb="FF000000"/>
        </patternFill>
      </fill>
    </dxf>
    <dxf>
      <fill>
        <patternFill patternType="solid">
          <fgColor rgb="FFFFFFFF"/>
          <bgColor rgb="FF000000"/>
        </patternFill>
      </fill>
    </dxf>
    <dxf>
      <fill>
        <patternFill patternType="solid">
          <fgColor rgb="FFFFF7CC"/>
          <bgColor rgb="FF000000"/>
        </patternFill>
      </fill>
    </dxf>
    <dxf>
      <fill>
        <patternFill>
          <bgColor rgb="FFD9F2E3"/>
        </patternFill>
      </fill>
    </dxf>
    <dxf>
      <fill>
        <patternFill>
          <bgColor rgb="FFFADBD8"/>
        </patternFill>
      </fill>
    </dxf>
    <dxf>
      <fill>
        <patternFill>
          <bgColor rgb="FFFCE8C8"/>
        </patternFill>
      </fill>
    </dxf>
    <dxf>
      <fill>
        <patternFill>
          <bgColor rgb="FFE3E8F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7CC"/>
      <rgbColor rgb="FFE3E8FD"/>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F2E3"/>
      <rgbColor rgb="FFFCE8C8"/>
      <rgbColor rgb="FF99CCFF"/>
      <rgbColor rgb="FFFF99CC"/>
      <rgbColor rgb="FFCC99FF"/>
      <rgbColor rgb="FFFADBD8"/>
      <rgbColor rgb="FF8245FC"/>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26.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26.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26.85" hidden="false" customHeight="false" outlineLevel="0" collapsed="false">
      <c r="A12" s="4"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26"/>
    <col collapsed="false" customWidth="true" hidden="false" outlineLevel="0" max="4" min="4" style="0" width="18"/>
    <col collapsed="false" customWidth="true" hidden="false" outlineLevel="0" max="5" min="5" style="0" width="80"/>
    <col collapsed="false" customWidth="true" hidden="false" outlineLevel="0" max="6" min="6" style="0" width="30"/>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40"/>
    <col collapsed="false" customWidth="true" hidden="false" outlineLevel="0" max="11" min="11" style="0" width="18"/>
    <col collapsed="false" customWidth="true" hidden="false" outlineLevel="0" max="12" min="12" style="0" width="12"/>
  </cols>
  <sheetData>
    <row r="1" customFormat="false" ht="26.85" hidden="false" customHeight="false" outlineLevel="0" collapsed="false">
      <c r="A1" s="6" t="s">
        <v>12</v>
      </c>
      <c r="B1" s="6" t="s">
        <v>13</v>
      </c>
      <c r="C1" s="6" t="s">
        <v>14</v>
      </c>
      <c r="D1" s="6" t="s">
        <v>15</v>
      </c>
      <c r="E1" s="6" t="s">
        <v>16</v>
      </c>
      <c r="F1" s="6" t="s">
        <v>17</v>
      </c>
      <c r="G1" s="6" t="s">
        <v>18</v>
      </c>
      <c r="H1" s="6" t="s">
        <v>19</v>
      </c>
      <c r="I1" s="6" t="s">
        <v>20</v>
      </c>
      <c r="J1" s="6" t="s">
        <v>21</v>
      </c>
      <c r="K1" s="6" t="s">
        <v>22</v>
      </c>
      <c r="L1" s="6" t="s">
        <v>23</v>
      </c>
    </row>
    <row r="2" customFormat="false" ht="23.85" hidden="false" customHeight="false" outlineLevel="0" collapsed="false">
      <c r="A2" s="7" t="s">
        <v>24</v>
      </c>
      <c r="B2" s="8" t="s">
        <v>25</v>
      </c>
      <c r="C2" s="7" t="s">
        <v>26</v>
      </c>
      <c r="D2" s="7" t="s">
        <v>27</v>
      </c>
      <c r="E2" s="8" t="s">
        <v>28</v>
      </c>
      <c r="F2" s="8"/>
      <c r="G2" s="7" t="s">
        <v>29</v>
      </c>
      <c r="H2" s="8"/>
      <c r="I2" s="9" t="s">
        <v>30</v>
      </c>
      <c r="J2" s="10"/>
      <c r="K2" s="9"/>
      <c r="L2" s="11"/>
    </row>
    <row r="3" customFormat="false" ht="23.85" hidden="false" customHeight="false" outlineLevel="0" collapsed="false">
      <c r="A3" s="7" t="s">
        <v>31</v>
      </c>
      <c r="B3" s="8" t="s">
        <v>32</v>
      </c>
      <c r="C3" s="7" t="s">
        <v>26</v>
      </c>
      <c r="D3" s="7" t="s">
        <v>33</v>
      </c>
      <c r="E3" s="8" t="s">
        <v>34</v>
      </c>
      <c r="F3" s="8" t="s">
        <v>35</v>
      </c>
      <c r="G3" s="7" t="s">
        <v>29</v>
      </c>
      <c r="H3" s="8"/>
      <c r="I3" s="9" t="s">
        <v>30</v>
      </c>
      <c r="J3" s="10"/>
      <c r="K3" s="9"/>
      <c r="L3" s="11"/>
    </row>
    <row r="4" customFormat="false" ht="23.85" hidden="false" customHeight="false" outlineLevel="0" collapsed="false">
      <c r="A4" s="7" t="s">
        <v>36</v>
      </c>
      <c r="B4" s="8" t="s">
        <v>37</v>
      </c>
      <c r="C4" s="7" t="s">
        <v>26</v>
      </c>
      <c r="D4" s="7" t="s">
        <v>33</v>
      </c>
      <c r="E4" s="8" t="s">
        <v>38</v>
      </c>
      <c r="F4" s="8" t="s">
        <v>39</v>
      </c>
      <c r="G4" s="7" t="s">
        <v>29</v>
      </c>
      <c r="H4" s="8"/>
      <c r="I4" s="9" t="s">
        <v>30</v>
      </c>
      <c r="J4" s="10"/>
      <c r="K4" s="9"/>
      <c r="L4" s="11"/>
    </row>
    <row r="5" customFormat="false" ht="23.85" hidden="false" customHeight="false" outlineLevel="0" collapsed="false">
      <c r="A5" s="7" t="s">
        <v>40</v>
      </c>
      <c r="B5" s="8" t="s">
        <v>41</v>
      </c>
      <c r="C5" s="7" t="s">
        <v>26</v>
      </c>
      <c r="D5" s="7" t="s">
        <v>33</v>
      </c>
      <c r="E5" s="8" t="s">
        <v>42</v>
      </c>
      <c r="F5" s="8" t="s">
        <v>43</v>
      </c>
      <c r="G5" s="7" t="s">
        <v>29</v>
      </c>
      <c r="H5" s="8"/>
      <c r="I5" s="9" t="s">
        <v>30</v>
      </c>
      <c r="J5" s="10"/>
      <c r="K5" s="9"/>
      <c r="L5" s="11"/>
    </row>
    <row r="6" customFormat="false" ht="23.85" hidden="false" customHeight="false" outlineLevel="0" collapsed="false">
      <c r="A6" s="7" t="s">
        <v>44</v>
      </c>
      <c r="B6" s="8" t="s">
        <v>45</v>
      </c>
      <c r="C6" s="7" t="s">
        <v>26</v>
      </c>
      <c r="D6" s="7" t="s">
        <v>33</v>
      </c>
      <c r="E6" s="8" t="s">
        <v>46</v>
      </c>
      <c r="F6" s="8" t="s">
        <v>47</v>
      </c>
      <c r="G6" s="7" t="s">
        <v>29</v>
      </c>
      <c r="H6" s="8"/>
      <c r="I6" s="9" t="s">
        <v>30</v>
      </c>
      <c r="J6" s="10"/>
      <c r="K6" s="9"/>
      <c r="L6" s="11"/>
    </row>
    <row r="7" customFormat="false" ht="23.85" hidden="false" customHeight="false" outlineLevel="0" collapsed="false">
      <c r="A7" s="7" t="s">
        <v>48</v>
      </c>
      <c r="B7" s="8" t="s">
        <v>49</v>
      </c>
      <c r="C7" s="7" t="s">
        <v>26</v>
      </c>
      <c r="D7" s="7" t="s">
        <v>50</v>
      </c>
      <c r="E7" s="8" t="s">
        <v>51</v>
      </c>
      <c r="F7" s="8"/>
      <c r="G7" s="7" t="s">
        <v>29</v>
      </c>
      <c r="H7" s="8"/>
      <c r="I7" s="9" t="s">
        <v>30</v>
      </c>
      <c r="J7" s="10"/>
      <c r="K7" s="9"/>
      <c r="L7" s="11"/>
    </row>
    <row r="8" customFormat="false" ht="23.85" hidden="false" customHeight="false" outlineLevel="0" collapsed="false">
      <c r="A8" s="7" t="s">
        <v>52</v>
      </c>
      <c r="B8" s="8" t="s">
        <v>53</v>
      </c>
      <c r="C8" s="7" t="s">
        <v>54</v>
      </c>
      <c r="D8" s="7" t="s">
        <v>27</v>
      </c>
      <c r="E8" s="8" t="s">
        <v>55</v>
      </c>
      <c r="F8" s="8"/>
      <c r="G8" s="7" t="s">
        <v>29</v>
      </c>
      <c r="H8" s="8"/>
      <c r="I8" s="9" t="s">
        <v>30</v>
      </c>
      <c r="J8" s="10"/>
      <c r="K8" s="9"/>
      <c r="L8" s="11"/>
    </row>
    <row r="9" customFormat="false" ht="23.85" hidden="false" customHeight="false" outlineLevel="0" collapsed="false">
      <c r="A9" s="7" t="s">
        <v>56</v>
      </c>
      <c r="B9" s="8" t="s">
        <v>57</v>
      </c>
      <c r="C9" s="7" t="s">
        <v>54</v>
      </c>
      <c r="D9" s="7" t="s">
        <v>33</v>
      </c>
      <c r="E9" s="8" t="s">
        <v>58</v>
      </c>
      <c r="F9" s="8" t="s">
        <v>59</v>
      </c>
      <c r="G9" s="7" t="s">
        <v>29</v>
      </c>
      <c r="H9" s="8"/>
      <c r="I9" s="9" t="s">
        <v>30</v>
      </c>
      <c r="J9" s="10"/>
      <c r="K9" s="9"/>
      <c r="L9" s="11"/>
    </row>
    <row r="10" customFormat="false" ht="23.85" hidden="false" customHeight="false" outlineLevel="0" collapsed="false">
      <c r="A10" s="7" t="s">
        <v>60</v>
      </c>
      <c r="B10" s="8" t="s">
        <v>61</v>
      </c>
      <c r="C10" s="7" t="s">
        <v>54</v>
      </c>
      <c r="D10" s="7" t="s">
        <v>33</v>
      </c>
      <c r="E10" s="8" t="s">
        <v>62</v>
      </c>
      <c r="F10" s="8"/>
      <c r="G10" s="7" t="s">
        <v>29</v>
      </c>
      <c r="H10" s="8"/>
      <c r="I10" s="9" t="s">
        <v>30</v>
      </c>
      <c r="J10" s="10"/>
      <c r="K10" s="9"/>
      <c r="L10" s="11"/>
    </row>
    <row r="11" customFormat="false" ht="23.85" hidden="false" customHeight="false" outlineLevel="0" collapsed="false">
      <c r="A11" s="7" t="s">
        <v>63</v>
      </c>
      <c r="B11" s="8" t="s">
        <v>64</v>
      </c>
      <c r="C11" s="7" t="s">
        <v>54</v>
      </c>
      <c r="D11" s="7" t="s">
        <v>33</v>
      </c>
      <c r="E11" s="8" t="s">
        <v>65</v>
      </c>
      <c r="F11" s="8" t="s">
        <v>66</v>
      </c>
      <c r="G11" s="7" t="s">
        <v>29</v>
      </c>
      <c r="H11" s="8"/>
      <c r="I11" s="9" t="s">
        <v>30</v>
      </c>
      <c r="J11" s="10"/>
      <c r="K11" s="9"/>
      <c r="L11" s="11"/>
    </row>
    <row r="12" customFormat="false" ht="15" hidden="false" customHeight="false" outlineLevel="0" collapsed="false">
      <c r="A12" s="7" t="s">
        <v>67</v>
      </c>
      <c r="B12" s="8" t="s">
        <v>68</v>
      </c>
      <c r="C12" s="7" t="s">
        <v>54</v>
      </c>
      <c r="D12" s="7" t="s">
        <v>33</v>
      </c>
      <c r="E12" s="8" t="s">
        <v>69</v>
      </c>
      <c r="F12" s="8" t="s">
        <v>70</v>
      </c>
      <c r="G12" s="7" t="s">
        <v>29</v>
      </c>
      <c r="H12" s="8"/>
      <c r="I12" s="9" t="s">
        <v>30</v>
      </c>
      <c r="J12" s="10"/>
      <c r="K12" s="9"/>
      <c r="L12" s="11"/>
    </row>
    <row r="13" customFormat="false" ht="23.85" hidden="false" customHeight="false" outlineLevel="0" collapsed="false">
      <c r="A13" s="7" t="s">
        <v>71</v>
      </c>
      <c r="B13" s="8" t="s">
        <v>72</v>
      </c>
      <c r="C13" s="7" t="s">
        <v>54</v>
      </c>
      <c r="D13" s="7" t="s">
        <v>33</v>
      </c>
      <c r="E13" s="8" t="s">
        <v>73</v>
      </c>
      <c r="F13" s="8" t="s">
        <v>74</v>
      </c>
      <c r="G13" s="7" t="s">
        <v>29</v>
      </c>
      <c r="H13" s="8"/>
      <c r="I13" s="9" t="s">
        <v>30</v>
      </c>
      <c r="J13" s="10"/>
      <c r="K13" s="9"/>
      <c r="L13" s="11"/>
    </row>
    <row r="14" customFormat="false" ht="23.85" hidden="false" customHeight="false" outlineLevel="0" collapsed="false">
      <c r="A14" s="7" t="s">
        <v>75</v>
      </c>
      <c r="B14" s="8" t="s">
        <v>76</v>
      </c>
      <c r="C14" s="7" t="s">
        <v>54</v>
      </c>
      <c r="D14" s="7" t="s">
        <v>50</v>
      </c>
      <c r="E14" s="8" t="s">
        <v>77</v>
      </c>
      <c r="F14" s="8"/>
      <c r="G14" s="7" t="s">
        <v>29</v>
      </c>
      <c r="H14" s="8"/>
      <c r="I14" s="9" t="s">
        <v>30</v>
      </c>
      <c r="J14" s="10"/>
      <c r="K14" s="9"/>
      <c r="L14" s="11"/>
    </row>
    <row r="15" customFormat="false" ht="46.25" hidden="false" customHeight="false" outlineLevel="0" collapsed="false">
      <c r="A15" s="7" t="s">
        <v>78</v>
      </c>
      <c r="B15" s="8" t="s">
        <v>79</v>
      </c>
      <c r="C15" s="7" t="s">
        <v>54</v>
      </c>
      <c r="D15" s="7" t="s">
        <v>80</v>
      </c>
      <c r="E15" s="8" t="s">
        <v>81</v>
      </c>
      <c r="F15" s="8" t="s">
        <v>82</v>
      </c>
      <c r="G15" s="7" t="s">
        <v>83</v>
      </c>
      <c r="H15" s="8"/>
      <c r="I15" s="9" t="s">
        <v>30</v>
      </c>
      <c r="J15" s="10"/>
      <c r="K15" s="9"/>
      <c r="L15" s="11"/>
    </row>
    <row r="16" customFormat="false" ht="46.25" hidden="false" customHeight="false" outlineLevel="0" collapsed="false">
      <c r="A16" s="7" t="s">
        <v>84</v>
      </c>
      <c r="B16" s="8" t="s">
        <v>85</v>
      </c>
      <c r="C16" s="7" t="s">
        <v>54</v>
      </c>
      <c r="D16" s="7" t="s">
        <v>80</v>
      </c>
      <c r="E16" s="8" t="s">
        <v>86</v>
      </c>
      <c r="F16" s="8" t="s">
        <v>87</v>
      </c>
      <c r="G16" s="7" t="s">
        <v>83</v>
      </c>
      <c r="H16" s="8"/>
      <c r="I16" s="9" t="s">
        <v>30</v>
      </c>
      <c r="J16" s="10"/>
      <c r="K16" s="9"/>
      <c r="L16" s="11"/>
    </row>
    <row r="17" customFormat="false" ht="35.05" hidden="false" customHeight="false" outlineLevel="0" collapsed="false">
      <c r="A17" s="7" t="s">
        <v>88</v>
      </c>
      <c r="B17" s="8" t="s">
        <v>89</v>
      </c>
      <c r="C17" s="7" t="s">
        <v>54</v>
      </c>
      <c r="D17" s="7" t="s">
        <v>80</v>
      </c>
      <c r="E17" s="8" t="s">
        <v>90</v>
      </c>
      <c r="F17" s="8" t="s">
        <v>91</v>
      </c>
      <c r="G17" s="7" t="s">
        <v>83</v>
      </c>
      <c r="H17" s="8"/>
      <c r="I17" s="9" t="s">
        <v>30</v>
      </c>
      <c r="J17" s="10"/>
      <c r="K17" s="9"/>
      <c r="L17" s="11"/>
    </row>
    <row r="18" customFormat="false" ht="46.25" hidden="false" customHeight="false" outlineLevel="0" collapsed="false">
      <c r="A18" s="7" t="s">
        <v>92</v>
      </c>
      <c r="B18" s="8" t="s">
        <v>93</v>
      </c>
      <c r="C18" s="7" t="s">
        <v>54</v>
      </c>
      <c r="D18" s="7" t="s">
        <v>80</v>
      </c>
      <c r="E18" s="8" t="s">
        <v>94</v>
      </c>
      <c r="F18" s="8" t="s">
        <v>95</v>
      </c>
      <c r="G18" s="7" t="s">
        <v>83</v>
      </c>
      <c r="H18" s="8"/>
      <c r="I18" s="9" t="s">
        <v>30</v>
      </c>
      <c r="J18" s="10"/>
      <c r="K18" s="9"/>
      <c r="L18" s="11"/>
    </row>
    <row r="19" customFormat="false" ht="23.85" hidden="false" customHeight="false" outlineLevel="0" collapsed="false">
      <c r="A19" s="7" t="s">
        <v>96</v>
      </c>
      <c r="B19" s="8" t="s">
        <v>97</v>
      </c>
      <c r="C19" s="7" t="s">
        <v>98</v>
      </c>
      <c r="D19" s="7" t="s">
        <v>27</v>
      </c>
      <c r="E19" s="8" t="s">
        <v>99</v>
      </c>
      <c r="F19" s="8"/>
      <c r="G19" s="7" t="s">
        <v>29</v>
      </c>
      <c r="H19" s="8"/>
      <c r="I19" s="9" t="s">
        <v>30</v>
      </c>
      <c r="J19" s="10"/>
      <c r="K19" s="9"/>
      <c r="L19" s="11"/>
    </row>
    <row r="20" customFormat="false" ht="23.85" hidden="false" customHeight="false" outlineLevel="0" collapsed="false">
      <c r="A20" s="7" t="s">
        <v>100</v>
      </c>
      <c r="B20" s="8" t="s">
        <v>101</v>
      </c>
      <c r="C20" s="7" t="s">
        <v>98</v>
      </c>
      <c r="D20" s="7" t="s">
        <v>33</v>
      </c>
      <c r="E20" s="8" t="s">
        <v>102</v>
      </c>
      <c r="F20" s="8" t="s">
        <v>103</v>
      </c>
      <c r="G20" s="7" t="s">
        <v>29</v>
      </c>
      <c r="H20" s="8"/>
      <c r="I20" s="9" t="s">
        <v>30</v>
      </c>
      <c r="J20" s="10"/>
      <c r="K20" s="9"/>
      <c r="L20" s="11"/>
    </row>
    <row r="21" customFormat="false" ht="23.85" hidden="false" customHeight="false" outlineLevel="0" collapsed="false">
      <c r="A21" s="7" t="s">
        <v>104</v>
      </c>
      <c r="B21" s="8" t="s">
        <v>105</v>
      </c>
      <c r="C21" s="7" t="s">
        <v>98</v>
      </c>
      <c r="D21" s="7" t="s">
        <v>33</v>
      </c>
      <c r="E21" s="8" t="s">
        <v>106</v>
      </c>
      <c r="F21" s="8"/>
      <c r="G21" s="7" t="s">
        <v>29</v>
      </c>
      <c r="H21" s="8"/>
      <c r="I21" s="9" t="s">
        <v>30</v>
      </c>
      <c r="J21" s="10"/>
      <c r="K21" s="9"/>
      <c r="L21" s="11"/>
    </row>
    <row r="22" customFormat="false" ht="15" hidden="false" customHeight="false" outlineLevel="0" collapsed="false">
      <c r="A22" s="7" t="s">
        <v>107</v>
      </c>
      <c r="B22" s="8" t="s">
        <v>108</v>
      </c>
      <c r="C22" s="7" t="s">
        <v>98</v>
      </c>
      <c r="D22" s="7" t="s">
        <v>33</v>
      </c>
      <c r="E22" s="8" t="s">
        <v>109</v>
      </c>
      <c r="F22" s="8" t="s">
        <v>110</v>
      </c>
      <c r="G22" s="7" t="s">
        <v>29</v>
      </c>
      <c r="H22" s="8"/>
      <c r="I22" s="9" t="s">
        <v>30</v>
      </c>
      <c r="J22" s="10"/>
      <c r="K22" s="9"/>
      <c r="L22" s="11"/>
    </row>
    <row r="23" customFormat="false" ht="23.85" hidden="false" customHeight="false" outlineLevel="0" collapsed="false">
      <c r="A23" s="7" t="s">
        <v>111</v>
      </c>
      <c r="B23" s="8" t="s">
        <v>112</v>
      </c>
      <c r="C23" s="7" t="s">
        <v>98</v>
      </c>
      <c r="D23" s="7" t="s">
        <v>33</v>
      </c>
      <c r="E23" s="8" t="s">
        <v>113</v>
      </c>
      <c r="F23" s="8" t="s">
        <v>114</v>
      </c>
      <c r="G23" s="7" t="s">
        <v>29</v>
      </c>
      <c r="H23" s="8"/>
      <c r="I23" s="9" t="s">
        <v>30</v>
      </c>
      <c r="J23" s="10"/>
      <c r="K23" s="9"/>
      <c r="L23" s="11"/>
    </row>
    <row r="24" customFormat="false" ht="23.85" hidden="false" customHeight="false" outlineLevel="0" collapsed="false">
      <c r="A24" s="7" t="s">
        <v>115</v>
      </c>
      <c r="B24" s="8" t="s">
        <v>116</v>
      </c>
      <c r="C24" s="7" t="s">
        <v>98</v>
      </c>
      <c r="D24" s="7" t="s">
        <v>33</v>
      </c>
      <c r="E24" s="8" t="s">
        <v>117</v>
      </c>
      <c r="F24" s="8" t="s">
        <v>118</v>
      </c>
      <c r="G24" s="7" t="s">
        <v>29</v>
      </c>
      <c r="H24" s="8"/>
      <c r="I24" s="9" t="s">
        <v>30</v>
      </c>
      <c r="J24" s="10"/>
      <c r="K24" s="9"/>
      <c r="L24" s="11"/>
    </row>
    <row r="25" customFormat="false" ht="23.85" hidden="false" customHeight="false" outlineLevel="0" collapsed="false">
      <c r="A25" s="7" t="s">
        <v>119</v>
      </c>
      <c r="B25" s="8" t="s">
        <v>120</v>
      </c>
      <c r="C25" s="7" t="s">
        <v>98</v>
      </c>
      <c r="D25" s="7" t="s">
        <v>50</v>
      </c>
      <c r="E25" s="8" t="s">
        <v>121</v>
      </c>
      <c r="F25" s="8"/>
      <c r="G25" s="7" t="s">
        <v>29</v>
      </c>
      <c r="H25" s="8"/>
      <c r="I25" s="9" t="s">
        <v>30</v>
      </c>
      <c r="J25" s="10"/>
      <c r="K25" s="9"/>
      <c r="L25" s="11"/>
    </row>
    <row r="26" customFormat="false" ht="46.25" hidden="false" customHeight="false" outlineLevel="0" collapsed="false">
      <c r="A26" s="7" t="s">
        <v>122</v>
      </c>
      <c r="B26" s="8" t="s">
        <v>123</v>
      </c>
      <c r="C26" s="7" t="s">
        <v>98</v>
      </c>
      <c r="D26" s="7" t="s">
        <v>80</v>
      </c>
      <c r="E26" s="8" t="s">
        <v>124</v>
      </c>
      <c r="F26" s="8" t="s">
        <v>125</v>
      </c>
      <c r="G26" s="7" t="s">
        <v>83</v>
      </c>
      <c r="H26" s="8"/>
      <c r="I26" s="9" t="s">
        <v>30</v>
      </c>
      <c r="J26" s="10"/>
      <c r="K26" s="9"/>
      <c r="L26" s="11"/>
    </row>
    <row r="27" customFormat="false" ht="35.05" hidden="false" customHeight="false" outlineLevel="0" collapsed="false">
      <c r="A27" s="7" t="s">
        <v>126</v>
      </c>
      <c r="B27" s="8" t="s">
        <v>127</v>
      </c>
      <c r="C27" s="7" t="s">
        <v>98</v>
      </c>
      <c r="D27" s="7" t="s">
        <v>80</v>
      </c>
      <c r="E27" s="8" t="s">
        <v>128</v>
      </c>
      <c r="F27" s="8" t="s">
        <v>129</v>
      </c>
      <c r="G27" s="7" t="s">
        <v>83</v>
      </c>
      <c r="H27" s="8"/>
      <c r="I27" s="9" t="s">
        <v>30</v>
      </c>
      <c r="J27" s="10"/>
      <c r="K27" s="9"/>
      <c r="L27" s="11"/>
    </row>
    <row r="28" customFormat="false" ht="46.25" hidden="false" customHeight="false" outlineLevel="0" collapsed="false">
      <c r="A28" s="7" t="s">
        <v>130</v>
      </c>
      <c r="B28" s="8" t="s">
        <v>131</v>
      </c>
      <c r="C28" s="7" t="s">
        <v>98</v>
      </c>
      <c r="D28" s="7" t="s">
        <v>80</v>
      </c>
      <c r="E28" s="8" t="s">
        <v>132</v>
      </c>
      <c r="F28" s="8" t="s">
        <v>133</v>
      </c>
      <c r="G28" s="7" t="s">
        <v>83</v>
      </c>
      <c r="H28" s="8"/>
      <c r="I28" s="9" t="s">
        <v>30</v>
      </c>
      <c r="J28" s="10"/>
      <c r="K28" s="9"/>
      <c r="L28" s="11"/>
    </row>
    <row r="29" customFormat="false" ht="23.85" hidden="false" customHeight="false" outlineLevel="0" collapsed="false">
      <c r="A29" s="7" t="s">
        <v>134</v>
      </c>
      <c r="B29" s="8" t="s">
        <v>135</v>
      </c>
      <c r="C29" s="7" t="s">
        <v>136</v>
      </c>
      <c r="D29" s="7" t="s">
        <v>27</v>
      </c>
      <c r="E29" s="8" t="s">
        <v>137</v>
      </c>
      <c r="F29" s="8"/>
      <c r="G29" s="7" t="s">
        <v>29</v>
      </c>
      <c r="H29" s="8"/>
      <c r="I29" s="9" t="s">
        <v>30</v>
      </c>
      <c r="J29" s="10"/>
      <c r="K29" s="9"/>
      <c r="L29" s="11"/>
    </row>
    <row r="30" customFormat="false" ht="23.85" hidden="false" customHeight="false" outlineLevel="0" collapsed="false">
      <c r="A30" s="7" t="s">
        <v>138</v>
      </c>
      <c r="B30" s="8" t="s">
        <v>139</v>
      </c>
      <c r="C30" s="7" t="s">
        <v>136</v>
      </c>
      <c r="D30" s="7" t="s">
        <v>33</v>
      </c>
      <c r="E30" s="8" t="s">
        <v>140</v>
      </c>
      <c r="F30" s="8" t="s">
        <v>141</v>
      </c>
      <c r="G30" s="7" t="s">
        <v>29</v>
      </c>
      <c r="H30" s="8"/>
      <c r="I30" s="9" t="s">
        <v>30</v>
      </c>
      <c r="J30" s="10"/>
      <c r="K30" s="9"/>
      <c r="L30" s="11"/>
    </row>
    <row r="31" customFormat="false" ht="23.85" hidden="false" customHeight="false" outlineLevel="0" collapsed="false">
      <c r="A31" s="7" t="s">
        <v>142</v>
      </c>
      <c r="B31" s="8" t="s">
        <v>143</v>
      </c>
      <c r="C31" s="7" t="s">
        <v>136</v>
      </c>
      <c r="D31" s="7" t="s">
        <v>33</v>
      </c>
      <c r="E31" s="8" t="s">
        <v>144</v>
      </c>
      <c r="F31" s="8" t="s">
        <v>145</v>
      </c>
      <c r="G31" s="7" t="s">
        <v>29</v>
      </c>
      <c r="H31" s="8"/>
      <c r="I31" s="9" t="s">
        <v>30</v>
      </c>
      <c r="J31" s="10"/>
      <c r="K31" s="9"/>
      <c r="L31" s="11"/>
    </row>
    <row r="32" customFormat="false" ht="23.85" hidden="false" customHeight="false" outlineLevel="0" collapsed="false">
      <c r="A32" s="7" t="s">
        <v>146</v>
      </c>
      <c r="B32" s="8" t="s">
        <v>147</v>
      </c>
      <c r="C32" s="7" t="s">
        <v>136</v>
      </c>
      <c r="D32" s="7" t="s">
        <v>33</v>
      </c>
      <c r="E32" s="8" t="s">
        <v>148</v>
      </c>
      <c r="F32" s="8" t="s">
        <v>149</v>
      </c>
      <c r="G32" s="7" t="s">
        <v>29</v>
      </c>
      <c r="H32" s="8"/>
      <c r="I32" s="9" t="s">
        <v>30</v>
      </c>
      <c r="J32" s="10"/>
      <c r="K32" s="9"/>
      <c r="L32" s="11"/>
    </row>
    <row r="33" customFormat="false" ht="23.85" hidden="false" customHeight="false" outlineLevel="0" collapsed="false">
      <c r="A33" s="7" t="s">
        <v>150</v>
      </c>
      <c r="B33" s="8" t="s">
        <v>151</v>
      </c>
      <c r="C33" s="7" t="s">
        <v>136</v>
      </c>
      <c r="D33" s="7" t="s">
        <v>33</v>
      </c>
      <c r="E33" s="8" t="s">
        <v>152</v>
      </c>
      <c r="F33" s="8"/>
      <c r="G33" s="7" t="s">
        <v>29</v>
      </c>
      <c r="H33" s="8"/>
      <c r="I33" s="9" t="s">
        <v>30</v>
      </c>
      <c r="J33" s="10"/>
      <c r="K33" s="9"/>
      <c r="L33" s="11"/>
    </row>
    <row r="34" customFormat="false" ht="23.85" hidden="false" customHeight="false" outlineLevel="0" collapsed="false">
      <c r="A34" s="7" t="s">
        <v>153</v>
      </c>
      <c r="B34" s="8" t="s">
        <v>154</v>
      </c>
      <c r="C34" s="7" t="s">
        <v>136</v>
      </c>
      <c r="D34" s="7" t="s">
        <v>33</v>
      </c>
      <c r="E34" s="8" t="s">
        <v>155</v>
      </c>
      <c r="F34" s="8" t="s">
        <v>156</v>
      </c>
      <c r="G34" s="7" t="s">
        <v>29</v>
      </c>
      <c r="H34" s="8"/>
      <c r="I34" s="9" t="s">
        <v>30</v>
      </c>
      <c r="J34" s="10"/>
      <c r="K34" s="9"/>
      <c r="L34" s="11"/>
    </row>
    <row r="35" customFormat="false" ht="23.85" hidden="false" customHeight="false" outlineLevel="0" collapsed="false">
      <c r="A35" s="7" t="s">
        <v>157</v>
      </c>
      <c r="B35" s="8" t="s">
        <v>158</v>
      </c>
      <c r="C35" s="7" t="s">
        <v>136</v>
      </c>
      <c r="D35" s="7" t="s">
        <v>50</v>
      </c>
      <c r="E35" s="8" t="s">
        <v>159</v>
      </c>
      <c r="F35" s="8"/>
      <c r="G35" s="7" t="s">
        <v>29</v>
      </c>
      <c r="H35" s="8"/>
      <c r="I35" s="9" t="s">
        <v>30</v>
      </c>
      <c r="J35" s="10"/>
      <c r="K35" s="9"/>
      <c r="L35" s="11"/>
    </row>
    <row r="36" customFormat="false" ht="46.25" hidden="false" customHeight="false" outlineLevel="0" collapsed="false">
      <c r="A36" s="7" t="s">
        <v>160</v>
      </c>
      <c r="B36" s="8" t="s">
        <v>161</v>
      </c>
      <c r="C36" s="7" t="s">
        <v>136</v>
      </c>
      <c r="D36" s="7" t="s">
        <v>80</v>
      </c>
      <c r="E36" s="8" t="s">
        <v>162</v>
      </c>
      <c r="F36" s="8" t="s">
        <v>163</v>
      </c>
      <c r="G36" s="7" t="s">
        <v>83</v>
      </c>
      <c r="H36" s="8"/>
      <c r="I36" s="9" t="s">
        <v>30</v>
      </c>
      <c r="J36" s="10"/>
      <c r="K36" s="9"/>
      <c r="L36" s="11"/>
    </row>
    <row r="37" customFormat="false" ht="46.25" hidden="false" customHeight="false" outlineLevel="0" collapsed="false">
      <c r="A37" s="7" t="s">
        <v>164</v>
      </c>
      <c r="B37" s="8" t="s">
        <v>165</v>
      </c>
      <c r="C37" s="7" t="s">
        <v>136</v>
      </c>
      <c r="D37" s="7" t="s">
        <v>80</v>
      </c>
      <c r="E37" s="8" t="s">
        <v>166</v>
      </c>
      <c r="F37" s="8" t="s">
        <v>167</v>
      </c>
      <c r="G37" s="7" t="s">
        <v>83</v>
      </c>
      <c r="H37" s="8"/>
      <c r="I37" s="9" t="s">
        <v>30</v>
      </c>
      <c r="J37" s="10"/>
      <c r="K37" s="9"/>
      <c r="L37" s="11"/>
    </row>
    <row r="38" customFormat="false" ht="35.05" hidden="false" customHeight="false" outlineLevel="0" collapsed="false">
      <c r="A38" s="7" t="s">
        <v>168</v>
      </c>
      <c r="B38" s="8" t="s">
        <v>169</v>
      </c>
      <c r="C38" s="7" t="s">
        <v>136</v>
      </c>
      <c r="D38" s="7" t="s">
        <v>80</v>
      </c>
      <c r="E38" s="8" t="s">
        <v>170</v>
      </c>
      <c r="F38" s="8" t="s">
        <v>171</v>
      </c>
      <c r="G38" s="7" t="s">
        <v>83</v>
      </c>
      <c r="H38" s="8"/>
      <c r="I38" s="9" t="s">
        <v>30</v>
      </c>
      <c r="J38" s="10"/>
      <c r="K38" s="9"/>
      <c r="L38" s="11"/>
    </row>
    <row r="39" customFormat="false" ht="35.05" hidden="false" customHeight="false" outlineLevel="0" collapsed="false">
      <c r="A39" s="7" t="s">
        <v>172</v>
      </c>
      <c r="B39" s="8" t="s">
        <v>173</v>
      </c>
      <c r="C39" s="7" t="s">
        <v>136</v>
      </c>
      <c r="D39" s="7" t="s">
        <v>80</v>
      </c>
      <c r="E39" s="8" t="s">
        <v>174</v>
      </c>
      <c r="F39" s="8" t="s">
        <v>175</v>
      </c>
      <c r="G39" s="7" t="s">
        <v>83</v>
      </c>
      <c r="H39" s="8"/>
      <c r="I39" s="9" t="s">
        <v>30</v>
      </c>
      <c r="J39" s="10"/>
      <c r="K39" s="9"/>
      <c r="L39" s="11"/>
    </row>
    <row r="40" customFormat="false" ht="23.85" hidden="false" customHeight="false" outlineLevel="0" collapsed="false">
      <c r="A40" s="7" t="s">
        <v>176</v>
      </c>
      <c r="B40" s="8" t="s">
        <v>177</v>
      </c>
      <c r="C40" s="7" t="s">
        <v>178</v>
      </c>
      <c r="D40" s="7" t="s">
        <v>27</v>
      </c>
      <c r="E40" s="8" t="s">
        <v>179</v>
      </c>
      <c r="F40" s="8"/>
      <c r="G40" s="7" t="s">
        <v>29</v>
      </c>
      <c r="H40" s="8"/>
      <c r="I40" s="9" t="s">
        <v>30</v>
      </c>
      <c r="J40" s="10"/>
      <c r="K40" s="9"/>
      <c r="L40" s="11"/>
    </row>
    <row r="41" customFormat="false" ht="23.85" hidden="false" customHeight="false" outlineLevel="0" collapsed="false">
      <c r="A41" s="7" t="s">
        <v>180</v>
      </c>
      <c r="B41" s="8" t="s">
        <v>181</v>
      </c>
      <c r="C41" s="7" t="s">
        <v>178</v>
      </c>
      <c r="D41" s="7" t="s">
        <v>33</v>
      </c>
      <c r="E41" s="8" t="s">
        <v>182</v>
      </c>
      <c r="F41" s="8" t="s">
        <v>183</v>
      </c>
      <c r="G41" s="7" t="s">
        <v>29</v>
      </c>
      <c r="H41" s="8"/>
      <c r="I41" s="9" t="s">
        <v>30</v>
      </c>
      <c r="J41" s="10"/>
      <c r="K41" s="9"/>
      <c r="L41" s="11"/>
    </row>
    <row r="42" customFormat="false" ht="15" hidden="false" customHeight="false" outlineLevel="0" collapsed="false">
      <c r="A42" s="7" t="s">
        <v>184</v>
      </c>
      <c r="B42" s="8" t="s">
        <v>185</v>
      </c>
      <c r="C42" s="7" t="s">
        <v>178</v>
      </c>
      <c r="D42" s="7" t="s">
        <v>33</v>
      </c>
      <c r="E42" s="8" t="s">
        <v>186</v>
      </c>
      <c r="F42" s="8" t="s">
        <v>187</v>
      </c>
      <c r="G42" s="7" t="s">
        <v>29</v>
      </c>
      <c r="H42" s="8"/>
      <c r="I42" s="9" t="s">
        <v>30</v>
      </c>
      <c r="J42" s="10"/>
      <c r="K42" s="9"/>
      <c r="L42" s="11"/>
    </row>
    <row r="43" customFormat="false" ht="23.85" hidden="false" customHeight="false" outlineLevel="0" collapsed="false">
      <c r="A43" s="7" t="s">
        <v>188</v>
      </c>
      <c r="B43" s="8" t="s">
        <v>189</v>
      </c>
      <c r="C43" s="7" t="s">
        <v>178</v>
      </c>
      <c r="D43" s="7" t="s">
        <v>33</v>
      </c>
      <c r="E43" s="8" t="s">
        <v>190</v>
      </c>
      <c r="F43" s="8" t="s">
        <v>191</v>
      </c>
      <c r="G43" s="7" t="s">
        <v>29</v>
      </c>
      <c r="H43" s="8"/>
      <c r="I43" s="9" t="s">
        <v>30</v>
      </c>
      <c r="J43" s="10"/>
      <c r="K43" s="9"/>
      <c r="L43" s="11"/>
    </row>
    <row r="44" customFormat="false" ht="23.85" hidden="false" customHeight="false" outlineLevel="0" collapsed="false">
      <c r="A44" s="7" t="s">
        <v>192</v>
      </c>
      <c r="B44" s="8" t="s">
        <v>193</v>
      </c>
      <c r="C44" s="7" t="s">
        <v>178</v>
      </c>
      <c r="D44" s="7" t="s">
        <v>33</v>
      </c>
      <c r="E44" s="8" t="s">
        <v>194</v>
      </c>
      <c r="F44" s="8" t="s">
        <v>195</v>
      </c>
      <c r="G44" s="7" t="s">
        <v>29</v>
      </c>
      <c r="H44" s="8"/>
      <c r="I44" s="9" t="s">
        <v>30</v>
      </c>
      <c r="J44" s="10"/>
      <c r="K44" s="9"/>
      <c r="L44" s="11"/>
    </row>
    <row r="45" customFormat="false" ht="23.85" hidden="false" customHeight="false" outlineLevel="0" collapsed="false">
      <c r="A45" s="7" t="s">
        <v>196</v>
      </c>
      <c r="B45" s="8" t="s">
        <v>197</v>
      </c>
      <c r="C45" s="7" t="s">
        <v>178</v>
      </c>
      <c r="D45" s="7" t="s">
        <v>33</v>
      </c>
      <c r="E45" s="8" t="s">
        <v>198</v>
      </c>
      <c r="F45" s="8" t="s">
        <v>199</v>
      </c>
      <c r="G45" s="7" t="s">
        <v>29</v>
      </c>
      <c r="H45" s="8"/>
      <c r="I45" s="9" t="s">
        <v>30</v>
      </c>
      <c r="J45" s="10"/>
      <c r="K45" s="9"/>
      <c r="L45" s="11"/>
    </row>
    <row r="46" customFormat="false" ht="23.85" hidden="false" customHeight="false" outlineLevel="0" collapsed="false">
      <c r="A46" s="7" t="s">
        <v>200</v>
      </c>
      <c r="B46" s="8" t="s">
        <v>201</v>
      </c>
      <c r="C46" s="7" t="s">
        <v>178</v>
      </c>
      <c r="D46" s="7" t="s">
        <v>50</v>
      </c>
      <c r="E46" s="8" t="s">
        <v>202</v>
      </c>
      <c r="F46" s="8"/>
      <c r="G46" s="7" t="s">
        <v>29</v>
      </c>
      <c r="H46" s="8"/>
      <c r="I46" s="9" t="s">
        <v>30</v>
      </c>
      <c r="J46" s="10"/>
      <c r="K46" s="9"/>
      <c r="L46" s="11"/>
    </row>
    <row r="47" customFormat="false" ht="35.05" hidden="false" customHeight="false" outlineLevel="0" collapsed="false">
      <c r="A47" s="7" t="s">
        <v>203</v>
      </c>
      <c r="B47" s="8" t="s">
        <v>204</v>
      </c>
      <c r="C47" s="7" t="s">
        <v>178</v>
      </c>
      <c r="D47" s="7" t="s">
        <v>80</v>
      </c>
      <c r="E47" s="8" t="s">
        <v>205</v>
      </c>
      <c r="F47" s="8" t="s">
        <v>206</v>
      </c>
      <c r="G47" s="7" t="s">
        <v>83</v>
      </c>
      <c r="H47" s="8"/>
      <c r="I47" s="9" t="s">
        <v>30</v>
      </c>
      <c r="J47" s="10"/>
      <c r="K47" s="9"/>
      <c r="L47" s="11"/>
    </row>
    <row r="48" customFormat="false" ht="46.25" hidden="false" customHeight="false" outlineLevel="0" collapsed="false">
      <c r="A48" s="7" t="s">
        <v>207</v>
      </c>
      <c r="B48" s="8" t="s">
        <v>208</v>
      </c>
      <c r="C48" s="7" t="s">
        <v>178</v>
      </c>
      <c r="D48" s="7" t="s">
        <v>80</v>
      </c>
      <c r="E48" s="8" t="s">
        <v>209</v>
      </c>
      <c r="F48" s="8" t="s">
        <v>210</v>
      </c>
      <c r="G48" s="7" t="s">
        <v>83</v>
      </c>
      <c r="H48" s="8"/>
      <c r="I48" s="9" t="s">
        <v>30</v>
      </c>
      <c r="J48" s="10"/>
      <c r="K48" s="9"/>
      <c r="L48" s="11"/>
    </row>
    <row r="49" customFormat="false" ht="35.05" hidden="false" customHeight="false" outlineLevel="0" collapsed="false">
      <c r="A49" s="7" t="s">
        <v>211</v>
      </c>
      <c r="B49" s="8" t="s">
        <v>212</v>
      </c>
      <c r="C49" s="7" t="s">
        <v>178</v>
      </c>
      <c r="D49" s="7" t="s">
        <v>80</v>
      </c>
      <c r="E49" s="8" t="s">
        <v>213</v>
      </c>
      <c r="F49" s="8" t="s">
        <v>214</v>
      </c>
      <c r="G49" s="7" t="s">
        <v>83</v>
      </c>
      <c r="H49" s="8"/>
      <c r="I49" s="9" t="s">
        <v>30</v>
      </c>
      <c r="J49" s="10"/>
      <c r="K49" s="9"/>
      <c r="L49" s="11"/>
    </row>
    <row r="50" customFormat="false" ht="35.05" hidden="false" customHeight="false" outlineLevel="0" collapsed="false">
      <c r="A50" s="7" t="s">
        <v>215</v>
      </c>
      <c r="B50" s="8" t="s">
        <v>216</v>
      </c>
      <c r="C50" s="7" t="s">
        <v>178</v>
      </c>
      <c r="D50" s="7" t="s">
        <v>80</v>
      </c>
      <c r="E50" s="8" t="s">
        <v>217</v>
      </c>
      <c r="F50" s="8" t="s">
        <v>218</v>
      </c>
      <c r="G50" s="7" t="s">
        <v>83</v>
      </c>
      <c r="H50" s="8"/>
      <c r="I50" s="9" t="s">
        <v>30</v>
      </c>
      <c r="J50" s="10"/>
      <c r="K50" s="9"/>
      <c r="L50" s="11"/>
    </row>
    <row r="51" customFormat="false" ht="23.85" hidden="false" customHeight="false" outlineLevel="0" collapsed="false">
      <c r="A51" s="7" t="s">
        <v>219</v>
      </c>
      <c r="B51" s="8" t="s">
        <v>220</v>
      </c>
      <c r="C51" s="7" t="s">
        <v>221</v>
      </c>
      <c r="D51" s="7" t="s">
        <v>27</v>
      </c>
      <c r="E51" s="8" t="s">
        <v>222</v>
      </c>
      <c r="F51" s="8"/>
      <c r="G51" s="7" t="s">
        <v>29</v>
      </c>
      <c r="H51" s="8"/>
      <c r="I51" s="9" t="s">
        <v>30</v>
      </c>
      <c r="J51" s="10"/>
      <c r="K51" s="9"/>
      <c r="L51" s="11"/>
    </row>
    <row r="52" customFormat="false" ht="23.85" hidden="false" customHeight="false" outlineLevel="0" collapsed="false">
      <c r="A52" s="7" t="s">
        <v>223</v>
      </c>
      <c r="B52" s="8" t="s">
        <v>224</v>
      </c>
      <c r="C52" s="7" t="s">
        <v>221</v>
      </c>
      <c r="D52" s="7" t="s">
        <v>33</v>
      </c>
      <c r="E52" s="8" t="s">
        <v>225</v>
      </c>
      <c r="F52" s="8" t="s">
        <v>226</v>
      </c>
      <c r="G52" s="7" t="s">
        <v>29</v>
      </c>
      <c r="H52" s="8"/>
      <c r="I52" s="9" t="s">
        <v>30</v>
      </c>
      <c r="J52" s="10"/>
      <c r="K52" s="9"/>
      <c r="L52" s="11"/>
    </row>
    <row r="53" customFormat="false" ht="23.85" hidden="false" customHeight="false" outlineLevel="0" collapsed="false">
      <c r="A53" s="7" t="s">
        <v>227</v>
      </c>
      <c r="B53" s="8" t="s">
        <v>228</v>
      </c>
      <c r="C53" s="7" t="s">
        <v>221</v>
      </c>
      <c r="D53" s="7" t="s">
        <v>33</v>
      </c>
      <c r="E53" s="8" t="s">
        <v>229</v>
      </c>
      <c r="F53" s="8" t="s">
        <v>230</v>
      </c>
      <c r="G53" s="7" t="s">
        <v>29</v>
      </c>
      <c r="H53" s="8"/>
      <c r="I53" s="9" t="s">
        <v>30</v>
      </c>
      <c r="J53" s="10"/>
      <c r="K53" s="9"/>
      <c r="L53" s="11"/>
    </row>
    <row r="54" customFormat="false" ht="15" hidden="false" customHeight="false" outlineLevel="0" collapsed="false">
      <c r="A54" s="7" t="s">
        <v>231</v>
      </c>
      <c r="B54" s="8" t="s">
        <v>232</v>
      </c>
      <c r="C54" s="7" t="s">
        <v>221</v>
      </c>
      <c r="D54" s="7" t="s">
        <v>33</v>
      </c>
      <c r="E54" s="8" t="s">
        <v>233</v>
      </c>
      <c r="F54" s="8" t="s">
        <v>234</v>
      </c>
      <c r="G54" s="7" t="s">
        <v>29</v>
      </c>
      <c r="H54" s="8"/>
      <c r="I54" s="9" t="s">
        <v>30</v>
      </c>
      <c r="J54" s="10"/>
      <c r="K54" s="9"/>
      <c r="L54" s="11"/>
    </row>
    <row r="55" customFormat="false" ht="23.85" hidden="false" customHeight="false" outlineLevel="0" collapsed="false">
      <c r="A55" s="7" t="s">
        <v>235</v>
      </c>
      <c r="B55" s="8" t="s">
        <v>236</v>
      </c>
      <c r="C55" s="7" t="s">
        <v>221</v>
      </c>
      <c r="D55" s="7" t="s">
        <v>33</v>
      </c>
      <c r="E55" s="8" t="s">
        <v>237</v>
      </c>
      <c r="F55" s="8" t="s">
        <v>238</v>
      </c>
      <c r="G55" s="7" t="s">
        <v>29</v>
      </c>
      <c r="H55" s="8"/>
      <c r="I55" s="9" t="s">
        <v>30</v>
      </c>
      <c r="J55" s="10"/>
      <c r="K55" s="9"/>
      <c r="L55" s="11"/>
    </row>
    <row r="56" customFormat="false" ht="23.85" hidden="false" customHeight="false" outlineLevel="0" collapsed="false">
      <c r="A56" s="7" t="s">
        <v>239</v>
      </c>
      <c r="B56" s="8" t="s">
        <v>240</v>
      </c>
      <c r="C56" s="7" t="s">
        <v>221</v>
      </c>
      <c r="D56" s="7" t="s">
        <v>33</v>
      </c>
      <c r="E56" s="8" t="s">
        <v>241</v>
      </c>
      <c r="F56" s="8" t="s">
        <v>242</v>
      </c>
      <c r="G56" s="7" t="s">
        <v>29</v>
      </c>
      <c r="H56" s="8"/>
      <c r="I56" s="9" t="s">
        <v>30</v>
      </c>
      <c r="J56" s="10"/>
      <c r="K56" s="9"/>
      <c r="L56" s="11"/>
    </row>
    <row r="57" customFormat="false" ht="23.85" hidden="false" customHeight="false" outlineLevel="0" collapsed="false">
      <c r="A57" s="7" t="s">
        <v>243</v>
      </c>
      <c r="B57" s="8" t="s">
        <v>244</v>
      </c>
      <c r="C57" s="7" t="s">
        <v>221</v>
      </c>
      <c r="D57" s="7" t="s">
        <v>50</v>
      </c>
      <c r="E57" s="8" t="s">
        <v>245</v>
      </c>
      <c r="F57" s="8"/>
      <c r="G57" s="7" t="s">
        <v>29</v>
      </c>
      <c r="H57" s="8"/>
      <c r="I57" s="9" t="s">
        <v>30</v>
      </c>
      <c r="J57" s="10"/>
      <c r="K57" s="9"/>
      <c r="L57" s="11"/>
    </row>
    <row r="58" customFormat="false" ht="46.25" hidden="false" customHeight="false" outlineLevel="0" collapsed="false">
      <c r="A58" s="7" t="s">
        <v>246</v>
      </c>
      <c r="B58" s="8" t="s">
        <v>247</v>
      </c>
      <c r="C58" s="7" t="s">
        <v>221</v>
      </c>
      <c r="D58" s="7" t="s">
        <v>80</v>
      </c>
      <c r="E58" s="8" t="s">
        <v>248</v>
      </c>
      <c r="F58" s="8" t="s">
        <v>249</v>
      </c>
      <c r="G58" s="7" t="s">
        <v>83</v>
      </c>
      <c r="H58" s="8"/>
      <c r="I58" s="9" t="s">
        <v>30</v>
      </c>
      <c r="J58" s="10"/>
      <c r="K58" s="9"/>
      <c r="L58" s="11"/>
    </row>
    <row r="59" customFormat="false" ht="35.05" hidden="false" customHeight="false" outlineLevel="0" collapsed="false">
      <c r="A59" s="7" t="s">
        <v>250</v>
      </c>
      <c r="B59" s="8" t="s">
        <v>251</v>
      </c>
      <c r="C59" s="7" t="s">
        <v>221</v>
      </c>
      <c r="D59" s="7" t="s">
        <v>80</v>
      </c>
      <c r="E59" s="8" t="s">
        <v>252</v>
      </c>
      <c r="F59" s="8" t="s">
        <v>253</v>
      </c>
      <c r="G59" s="7" t="s">
        <v>83</v>
      </c>
      <c r="H59" s="8"/>
      <c r="I59" s="9" t="s">
        <v>30</v>
      </c>
      <c r="J59" s="10"/>
      <c r="K59" s="9"/>
      <c r="L59" s="11"/>
    </row>
    <row r="60" customFormat="false" ht="46.25" hidden="false" customHeight="false" outlineLevel="0" collapsed="false">
      <c r="A60" s="7" t="s">
        <v>254</v>
      </c>
      <c r="B60" s="8" t="s">
        <v>255</v>
      </c>
      <c r="C60" s="7" t="s">
        <v>221</v>
      </c>
      <c r="D60" s="7" t="s">
        <v>80</v>
      </c>
      <c r="E60" s="8" t="s">
        <v>256</v>
      </c>
      <c r="F60" s="8" t="s">
        <v>257</v>
      </c>
      <c r="G60" s="7" t="s">
        <v>83</v>
      </c>
      <c r="H60" s="8"/>
      <c r="I60" s="9" t="s">
        <v>30</v>
      </c>
      <c r="J60" s="10"/>
      <c r="K60" s="9"/>
      <c r="L60" s="11"/>
    </row>
    <row r="61" customFormat="false" ht="23.85" hidden="false" customHeight="false" outlineLevel="0" collapsed="false">
      <c r="A61" s="7" t="s">
        <v>258</v>
      </c>
      <c r="B61" s="8" t="s">
        <v>259</v>
      </c>
      <c r="C61" s="7" t="s">
        <v>260</v>
      </c>
      <c r="D61" s="7" t="s">
        <v>27</v>
      </c>
      <c r="E61" s="8" t="s">
        <v>261</v>
      </c>
      <c r="F61" s="8"/>
      <c r="G61" s="7" t="s">
        <v>29</v>
      </c>
      <c r="H61" s="8"/>
      <c r="I61" s="9" t="s">
        <v>30</v>
      </c>
      <c r="J61" s="10"/>
      <c r="K61" s="9"/>
      <c r="L61" s="11"/>
    </row>
    <row r="62" customFormat="false" ht="15" hidden="false" customHeight="false" outlineLevel="0" collapsed="false">
      <c r="A62" s="7" t="s">
        <v>262</v>
      </c>
      <c r="B62" s="8" t="s">
        <v>263</v>
      </c>
      <c r="C62" s="7" t="s">
        <v>260</v>
      </c>
      <c r="D62" s="7" t="s">
        <v>33</v>
      </c>
      <c r="E62" s="8" t="s">
        <v>264</v>
      </c>
      <c r="F62" s="8" t="s">
        <v>265</v>
      </c>
      <c r="G62" s="7" t="s">
        <v>29</v>
      </c>
      <c r="H62" s="8"/>
      <c r="I62" s="9" t="s">
        <v>30</v>
      </c>
      <c r="J62" s="10"/>
      <c r="K62" s="9"/>
      <c r="L62" s="11"/>
    </row>
    <row r="63" customFormat="false" ht="23.85" hidden="false" customHeight="false" outlineLevel="0" collapsed="false">
      <c r="A63" s="7" t="s">
        <v>266</v>
      </c>
      <c r="B63" s="8" t="s">
        <v>267</v>
      </c>
      <c r="C63" s="7" t="s">
        <v>260</v>
      </c>
      <c r="D63" s="7" t="s">
        <v>33</v>
      </c>
      <c r="E63" s="8" t="s">
        <v>268</v>
      </c>
      <c r="F63" s="8" t="s">
        <v>269</v>
      </c>
      <c r="G63" s="7" t="s">
        <v>29</v>
      </c>
      <c r="H63" s="8"/>
      <c r="I63" s="9" t="s">
        <v>30</v>
      </c>
      <c r="J63" s="10"/>
      <c r="K63" s="9"/>
      <c r="L63" s="11"/>
    </row>
    <row r="64" customFormat="false" ht="23.85" hidden="false" customHeight="false" outlineLevel="0" collapsed="false">
      <c r="A64" s="7" t="s">
        <v>270</v>
      </c>
      <c r="B64" s="8" t="s">
        <v>271</v>
      </c>
      <c r="C64" s="7" t="s">
        <v>260</v>
      </c>
      <c r="D64" s="7" t="s">
        <v>33</v>
      </c>
      <c r="E64" s="8" t="s">
        <v>272</v>
      </c>
      <c r="F64" s="8"/>
      <c r="G64" s="7" t="s">
        <v>29</v>
      </c>
      <c r="H64" s="8"/>
      <c r="I64" s="9" t="s">
        <v>30</v>
      </c>
      <c r="J64" s="10"/>
      <c r="K64" s="9"/>
      <c r="L64" s="11"/>
    </row>
    <row r="65" customFormat="false" ht="15" hidden="false" customHeight="false" outlineLevel="0" collapsed="false">
      <c r="A65" s="7" t="s">
        <v>273</v>
      </c>
      <c r="B65" s="8" t="s">
        <v>274</v>
      </c>
      <c r="C65" s="7" t="s">
        <v>260</v>
      </c>
      <c r="D65" s="7" t="s">
        <v>33</v>
      </c>
      <c r="E65" s="8" t="s">
        <v>275</v>
      </c>
      <c r="F65" s="8"/>
      <c r="G65" s="7" t="s">
        <v>29</v>
      </c>
      <c r="H65" s="8"/>
      <c r="I65" s="9" t="s">
        <v>30</v>
      </c>
      <c r="J65" s="10"/>
      <c r="K65" s="9"/>
      <c r="L65" s="11"/>
    </row>
    <row r="66" customFormat="false" ht="23.85" hidden="false" customHeight="false" outlineLevel="0" collapsed="false">
      <c r="A66" s="7" t="s">
        <v>276</v>
      </c>
      <c r="B66" s="8" t="s">
        <v>277</v>
      </c>
      <c r="C66" s="7" t="s">
        <v>260</v>
      </c>
      <c r="D66" s="7" t="s">
        <v>50</v>
      </c>
      <c r="E66" s="8" t="s">
        <v>278</v>
      </c>
      <c r="F66" s="8"/>
      <c r="G66" s="7" t="s">
        <v>29</v>
      </c>
      <c r="H66" s="8"/>
      <c r="I66" s="9" t="s">
        <v>30</v>
      </c>
      <c r="J66" s="10"/>
      <c r="K66" s="9"/>
      <c r="L66" s="11"/>
    </row>
    <row r="67" customFormat="false" ht="23.85" hidden="false" customHeight="false" outlineLevel="0" collapsed="false">
      <c r="A67" s="7" t="s">
        <v>279</v>
      </c>
      <c r="B67" s="8" t="s">
        <v>280</v>
      </c>
      <c r="C67" s="7" t="s">
        <v>260</v>
      </c>
      <c r="D67" s="7" t="s">
        <v>80</v>
      </c>
      <c r="E67" s="8" t="s">
        <v>281</v>
      </c>
      <c r="F67" s="8" t="s">
        <v>282</v>
      </c>
      <c r="G67" s="7" t="s">
        <v>83</v>
      </c>
      <c r="H67" s="8"/>
      <c r="I67" s="9" t="s">
        <v>30</v>
      </c>
      <c r="J67" s="10"/>
      <c r="K67" s="9"/>
      <c r="L67" s="11"/>
    </row>
    <row r="68" customFormat="false" ht="35.05" hidden="false" customHeight="false" outlineLevel="0" collapsed="false">
      <c r="A68" s="7" t="s">
        <v>283</v>
      </c>
      <c r="B68" s="8" t="s">
        <v>284</v>
      </c>
      <c r="C68" s="7" t="s">
        <v>260</v>
      </c>
      <c r="D68" s="7" t="s">
        <v>80</v>
      </c>
      <c r="E68" s="8" t="s">
        <v>285</v>
      </c>
      <c r="F68" s="8" t="s">
        <v>286</v>
      </c>
      <c r="G68" s="7" t="s">
        <v>83</v>
      </c>
      <c r="H68" s="8"/>
      <c r="I68" s="9" t="s">
        <v>30</v>
      </c>
      <c r="J68" s="10"/>
      <c r="K68" s="9"/>
      <c r="L68" s="11"/>
    </row>
    <row r="69" customFormat="false" ht="46.25" hidden="false" customHeight="false" outlineLevel="0" collapsed="false">
      <c r="A69" s="7" t="s">
        <v>287</v>
      </c>
      <c r="B69" s="8" t="s">
        <v>288</v>
      </c>
      <c r="C69" s="7" t="s">
        <v>260</v>
      </c>
      <c r="D69" s="7" t="s">
        <v>80</v>
      </c>
      <c r="E69" s="8" t="s">
        <v>289</v>
      </c>
      <c r="F69" s="8" t="s">
        <v>290</v>
      </c>
      <c r="G69" s="7" t="s">
        <v>83</v>
      </c>
      <c r="H69" s="8"/>
      <c r="I69" s="9" t="s">
        <v>30</v>
      </c>
      <c r="J69" s="10"/>
      <c r="K69" s="9"/>
      <c r="L69" s="11"/>
    </row>
    <row r="70" customFormat="false" ht="23.85" hidden="false" customHeight="false" outlineLevel="0" collapsed="false">
      <c r="A70" s="7" t="s">
        <v>291</v>
      </c>
      <c r="B70" s="8" t="s">
        <v>292</v>
      </c>
      <c r="C70" s="7" t="s">
        <v>293</v>
      </c>
      <c r="D70" s="7" t="s">
        <v>27</v>
      </c>
      <c r="E70" s="8" t="s">
        <v>294</v>
      </c>
      <c r="F70" s="8"/>
      <c r="G70" s="7" t="s">
        <v>29</v>
      </c>
      <c r="H70" s="8"/>
      <c r="I70" s="9" t="s">
        <v>30</v>
      </c>
      <c r="J70" s="10"/>
      <c r="K70" s="9"/>
      <c r="L70" s="11"/>
    </row>
    <row r="71" customFormat="false" ht="15" hidden="false" customHeight="false" outlineLevel="0" collapsed="false">
      <c r="A71" s="7" t="s">
        <v>295</v>
      </c>
      <c r="B71" s="8" t="s">
        <v>296</v>
      </c>
      <c r="C71" s="7" t="s">
        <v>293</v>
      </c>
      <c r="D71" s="7" t="s">
        <v>33</v>
      </c>
      <c r="E71" s="8" t="s">
        <v>297</v>
      </c>
      <c r="F71" s="8" t="s">
        <v>298</v>
      </c>
      <c r="G71" s="7" t="s">
        <v>29</v>
      </c>
      <c r="H71" s="8"/>
      <c r="I71" s="9" t="s">
        <v>30</v>
      </c>
      <c r="J71" s="10"/>
      <c r="K71" s="9"/>
      <c r="L71" s="11"/>
    </row>
    <row r="72" customFormat="false" ht="23.85" hidden="false" customHeight="false" outlineLevel="0" collapsed="false">
      <c r="A72" s="7" t="s">
        <v>299</v>
      </c>
      <c r="B72" s="8" t="s">
        <v>300</v>
      </c>
      <c r="C72" s="7" t="s">
        <v>293</v>
      </c>
      <c r="D72" s="7" t="s">
        <v>33</v>
      </c>
      <c r="E72" s="8" t="s">
        <v>301</v>
      </c>
      <c r="F72" s="8" t="s">
        <v>302</v>
      </c>
      <c r="G72" s="7" t="s">
        <v>29</v>
      </c>
      <c r="H72" s="8"/>
      <c r="I72" s="9" t="s">
        <v>30</v>
      </c>
      <c r="J72" s="10"/>
      <c r="K72" s="9"/>
      <c r="L72" s="11"/>
    </row>
    <row r="73" customFormat="false" ht="15" hidden="false" customHeight="false" outlineLevel="0" collapsed="false">
      <c r="A73" s="7" t="s">
        <v>303</v>
      </c>
      <c r="B73" s="8" t="s">
        <v>304</v>
      </c>
      <c r="C73" s="7" t="s">
        <v>293</v>
      </c>
      <c r="D73" s="7" t="s">
        <v>33</v>
      </c>
      <c r="E73" s="8" t="s">
        <v>305</v>
      </c>
      <c r="F73" s="8"/>
      <c r="G73" s="7" t="s">
        <v>29</v>
      </c>
      <c r="H73" s="8"/>
      <c r="I73" s="9" t="s">
        <v>30</v>
      </c>
      <c r="J73" s="10"/>
      <c r="K73" s="9"/>
      <c r="L73" s="11"/>
    </row>
    <row r="74" customFormat="false" ht="23.85" hidden="false" customHeight="false" outlineLevel="0" collapsed="false">
      <c r="A74" s="7" t="s">
        <v>306</v>
      </c>
      <c r="B74" s="8" t="s">
        <v>307</v>
      </c>
      <c r="C74" s="7" t="s">
        <v>293</v>
      </c>
      <c r="D74" s="7" t="s">
        <v>33</v>
      </c>
      <c r="E74" s="8" t="s">
        <v>308</v>
      </c>
      <c r="F74" s="8" t="s">
        <v>309</v>
      </c>
      <c r="G74" s="7" t="s">
        <v>29</v>
      </c>
      <c r="H74" s="8"/>
      <c r="I74" s="9" t="s">
        <v>30</v>
      </c>
      <c r="J74" s="10"/>
      <c r="K74" s="9"/>
      <c r="L74" s="11"/>
    </row>
    <row r="75" customFormat="false" ht="23.85" hidden="false" customHeight="false" outlineLevel="0" collapsed="false">
      <c r="A75" s="7" t="s">
        <v>310</v>
      </c>
      <c r="B75" s="8" t="s">
        <v>311</v>
      </c>
      <c r="C75" s="7" t="s">
        <v>293</v>
      </c>
      <c r="D75" s="7" t="s">
        <v>50</v>
      </c>
      <c r="E75" s="8" t="s">
        <v>312</v>
      </c>
      <c r="F75" s="8"/>
      <c r="G75" s="7" t="s">
        <v>29</v>
      </c>
      <c r="H75" s="8"/>
      <c r="I75" s="9" t="s">
        <v>30</v>
      </c>
      <c r="J75" s="10"/>
      <c r="K75" s="9"/>
      <c r="L75" s="11"/>
    </row>
    <row r="76" customFormat="false" ht="35.05" hidden="false" customHeight="false" outlineLevel="0" collapsed="false">
      <c r="A76" s="7" t="s">
        <v>313</v>
      </c>
      <c r="B76" s="8" t="s">
        <v>314</v>
      </c>
      <c r="C76" s="7" t="s">
        <v>293</v>
      </c>
      <c r="D76" s="7" t="s">
        <v>80</v>
      </c>
      <c r="E76" s="8" t="s">
        <v>315</v>
      </c>
      <c r="F76" s="8" t="s">
        <v>316</v>
      </c>
      <c r="G76" s="7" t="s">
        <v>83</v>
      </c>
      <c r="H76" s="8"/>
      <c r="I76" s="9" t="s">
        <v>30</v>
      </c>
      <c r="J76" s="10"/>
      <c r="K76" s="9"/>
      <c r="L76" s="11"/>
    </row>
    <row r="77" customFormat="false" ht="46.25" hidden="false" customHeight="false" outlineLevel="0" collapsed="false">
      <c r="A77" s="7" t="s">
        <v>317</v>
      </c>
      <c r="B77" s="8" t="s">
        <v>318</v>
      </c>
      <c r="C77" s="7" t="s">
        <v>293</v>
      </c>
      <c r="D77" s="7" t="s">
        <v>80</v>
      </c>
      <c r="E77" s="8" t="s">
        <v>319</v>
      </c>
      <c r="F77" s="8" t="s">
        <v>320</v>
      </c>
      <c r="G77" s="7" t="s">
        <v>83</v>
      </c>
      <c r="H77" s="8"/>
      <c r="I77" s="9" t="s">
        <v>30</v>
      </c>
      <c r="J77" s="10"/>
      <c r="K77" s="9"/>
      <c r="L77" s="11"/>
    </row>
    <row r="78" customFormat="false" ht="46.25" hidden="false" customHeight="false" outlineLevel="0" collapsed="false">
      <c r="A78" s="7" t="s">
        <v>321</v>
      </c>
      <c r="B78" s="8" t="s">
        <v>322</v>
      </c>
      <c r="C78" s="7" t="s">
        <v>293</v>
      </c>
      <c r="D78" s="7" t="s">
        <v>80</v>
      </c>
      <c r="E78" s="8" t="s">
        <v>323</v>
      </c>
      <c r="F78" s="8" t="s">
        <v>324</v>
      </c>
      <c r="G78" s="7" t="s">
        <v>83</v>
      </c>
      <c r="H78" s="8"/>
      <c r="I78" s="9" t="s">
        <v>30</v>
      </c>
      <c r="J78" s="10"/>
      <c r="K78" s="9"/>
      <c r="L78" s="11"/>
    </row>
    <row r="79" customFormat="false" ht="23.85" hidden="false" customHeight="false" outlineLevel="0" collapsed="false">
      <c r="A79" s="7" t="s">
        <v>325</v>
      </c>
      <c r="B79" s="8" t="s">
        <v>326</v>
      </c>
      <c r="C79" s="7" t="s">
        <v>327</v>
      </c>
      <c r="D79" s="7" t="s">
        <v>27</v>
      </c>
      <c r="E79" s="8" t="s">
        <v>328</v>
      </c>
      <c r="F79" s="8"/>
      <c r="G79" s="7" t="s">
        <v>29</v>
      </c>
      <c r="H79" s="8"/>
      <c r="I79" s="9" t="s">
        <v>30</v>
      </c>
      <c r="J79" s="10"/>
      <c r="K79" s="9"/>
      <c r="L79" s="11"/>
    </row>
    <row r="80" customFormat="false" ht="23.85" hidden="false" customHeight="false" outlineLevel="0" collapsed="false">
      <c r="A80" s="7" t="s">
        <v>329</v>
      </c>
      <c r="B80" s="8" t="s">
        <v>330</v>
      </c>
      <c r="C80" s="7" t="s">
        <v>327</v>
      </c>
      <c r="D80" s="7" t="s">
        <v>33</v>
      </c>
      <c r="E80" s="8" t="s">
        <v>331</v>
      </c>
      <c r="F80" s="8" t="s">
        <v>332</v>
      </c>
      <c r="G80" s="7" t="s">
        <v>29</v>
      </c>
      <c r="H80" s="8"/>
      <c r="I80" s="9" t="s">
        <v>30</v>
      </c>
      <c r="J80" s="10"/>
      <c r="K80" s="9"/>
      <c r="L80" s="11"/>
    </row>
    <row r="81" customFormat="false" ht="23.85" hidden="false" customHeight="false" outlineLevel="0" collapsed="false">
      <c r="A81" s="7" t="s">
        <v>333</v>
      </c>
      <c r="B81" s="8" t="s">
        <v>334</v>
      </c>
      <c r="C81" s="7" t="s">
        <v>327</v>
      </c>
      <c r="D81" s="7" t="s">
        <v>33</v>
      </c>
      <c r="E81" s="8" t="s">
        <v>335</v>
      </c>
      <c r="F81" s="8" t="s">
        <v>336</v>
      </c>
      <c r="G81" s="7" t="s">
        <v>29</v>
      </c>
      <c r="H81" s="8"/>
      <c r="I81" s="9" t="s">
        <v>30</v>
      </c>
      <c r="J81" s="10"/>
      <c r="K81" s="9"/>
      <c r="L81" s="11"/>
    </row>
    <row r="82" customFormat="false" ht="23.85" hidden="false" customHeight="false" outlineLevel="0" collapsed="false">
      <c r="A82" s="7" t="s">
        <v>337</v>
      </c>
      <c r="B82" s="8" t="s">
        <v>338</v>
      </c>
      <c r="C82" s="7" t="s">
        <v>327</v>
      </c>
      <c r="D82" s="7" t="s">
        <v>33</v>
      </c>
      <c r="E82" s="8" t="s">
        <v>339</v>
      </c>
      <c r="F82" s="8" t="s">
        <v>340</v>
      </c>
      <c r="G82" s="7" t="s">
        <v>29</v>
      </c>
      <c r="H82" s="8"/>
      <c r="I82" s="9" t="s">
        <v>30</v>
      </c>
      <c r="J82" s="10"/>
      <c r="K82" s="9"/>
      <c r="L82" s="11"/>
    </row>
    <row r="83" customFormat="false" ht="23.85" hidden="false" customHeight="false" outlineLevel="0" collapsed="false">
      <c r="A83" s="7" t="s">
        <v>341</v>
      </c>
      <c r="B83" s="8" t="s">
        <v>342</v>
      </c>
      <c r="C83" s="7" t="s">
        <v>327</v>
      </c>
      <c r="D83" s="7" t="s">
        <v>33</v>
      </c>
      <c r="E83" s="8" t="s">
        <v>343</v>
      </c>
      <c r="F83" s="8" t="s">
        <v>344</v>
      </c>
      <c r="G83" s="7" t="s">
        <v>29</v>
      </c>
      <c r="H83" s="8"/>
      <c r="I83" s="9" t="s">
        <v>30</v>
      </c>
      <c r="J83" s="10"/>
      <c r="K83" s="9"/>
      <c r="L83" s="11"/>
    </row>
    <row r="84" customFormat="false" ht="23.85" hidden="false" customHeight="false" outlineLevel="0" collapsed="false">
      <c r="A84" s="7" t="s">
        <v>345</v>
      </c>
      <c r="B84" s="8" t="s">
        <v>346</v>
      </c>
      <c r="C84" s="7" t="s">
        <v>327</v>
      </c>
      <c r="D84" s="7" t="s">
        <v>33</v>
      </c>
      <c r="E84" s="8" t="s">
        <v>347</v>
      </c>
      <c r="F84" s="8" t="s">
        <v>348</v>
      </c>
      <c r="G84" s="7" t="s">
        <v>29</v>
      </c>
      <c r="H84" s="8"/>
      <c r="I84" s="9" t="s">
        <v>30</v>
      </c>
      <c r="J84" s="10"/>
      <c r="K84" s="9"/>
      <c r="L84" s="11"/>
    </row>
    <row r="85" customFormat="false" ht="23.85" hidden="false" customHeight="false" outlineLevel="0" collapsed="false">
      <c r="A85" s="7" t="s">
        <v>349</v>
      </c>
      <c r="B85" s="8" t="s">
        <v>350</v>
      </c>
      <c r="C85" s="7" t="s">
        <v>327</v>
      </c>
      <c r="D85" s="7" t="s">
        <v>50</v>
      </c>
      <c r="E85" s="8" t="s">
        <v>351</v>
      </c>
      <c r="F85" s="8"/>
      <c r="G85" s="7" t="s">
        <v>29</v>
      </c>
      <c r="H85" s="8"/>
      <c r="I85" s="9" t="s">
        <v>30</v>
      </c>
      <c r="J85" s="10"/>
      <c r="K85" s="9"/>
      <c r="L85" s="11"/>
    </row>
    <row r="86" customFormat="false" ht="35.05" hidden="false" customHeight="false" outlineLevel="0" collapsed="false">
      <c r="A86" s="7" t="s">
        <v>352</v>
      </c>
      <c r="B86" s="8" t="s">
        <v>353</v>
      </c>
      <c r="C86" s="7" t="s">
        <v>327</v>
      </c>
      <c r="D86" s="7" t="s">
        <v>80</v>
      </c>
      <c r="E86" s="8" t="s">
        <v>354</v>
      </c>
      <c r="F86" s="8" t="s">
        <v>355</v>
      </c>
      <c r="G86" s="7" t="s">
        <v>83</v>
      </c>
      <c r="H86" s="8"/>
      <c r="I86" s="9" t="s">
        <v>30</v>
      </c>
      <c r="J86" s="10"/>
      <c r="K86" s="9"/>
      <c r="L86" s="11"/>
    </row>
    <row r="87" customFormat="false" ht="35.05" hidden="false" customHeight="false" outlineLevel="0" collapsed="false">
      <c r="A87" s="7" t="s">
        <v>356</v>
      </c>
      <c r="B87" s="8" t="s">
        <v>357</v>
      </c>
      <c r="C87" s="7" t="s">
        <v>327</v>
      </c>
      <c r="D87" s="7" t="s">
        <v>80</v>
      </c>
      <c r="E87" s="8" t="s">
        <v>358</v>
      </c>
      <c r="F87" s="8" t="s">
        <v>359</v>
      </c>
      <c r="G87" s="7" t="s">
        <v>83</v>
      </c>
      <c r="H87" s="8"/>
      <c r="I87" s="9" t="s">
        <v>30</v>
      </c>
      <c r="J87" s="10"/>
      <c r="K87" s="9"/>
      <c r="L87" s="11"/>
    </row>
    <row r="88" customFormat="false" ht="46.25" hidden="false" customHeight="false" outlineLevel="0" collapsed="false">
      <c r="A88" s="7" t="s">
        <v>360</v>
      </c>
      <c r="B88" s="8" t="s">
        <v>361</v>
      </c>
      <c r="C88" s="7" t="s">
        <v>327</v>
      </c>
      <c r="D88" s="7" t="s">
        <v>80</v>
      </c>
      <c r="E88" s="8" t="s">
        <v>362</v>
      </c>
      <c r="F88" s="8" t="s">
        <v>363</v>
      </c>
      <c r="G88" s="7" t="s">
        <v>83</v>
      </c>
      <c r="H88" s="8"/>
      <c r="I88" s="9" t="s">
        <v>30</v>
      </c>
      <c r="J88" s="10"/>
      <c r="K88" s="9"/>
      <c r="L88" s="11"/>
    </row>
    <row r="89" customFormat="false" ht="35.05" hidden="false" customHeight="false" outlineLevel="0" collapsed="false">
      <c r="A89" s="7" t="s">
        <v>364</v>
      </c>
      <c r="B89" s="8" t="s">
        <v>365</v>
      </c>
      <c r="C89" s="7" t="s">
        <v>327</v>
      </c>
      <c r="D89" s="7" t="s">
        <v>80</v>
      </c>
      <c r="E89" s="8" t="s">
        <v>366</v>
      </c>
      <c r="F89" s="8" t="s">
        <v>367</v>
      </c>
      <c r="G89" s="7" t="s">
        <v>83</v>
      </c>
      <c r="H89" s="8"/>
      <c r="I89" s="9" t="s">
        <v>30</v>
      </c>
      <c r="J89" s="10"/>
      <c r="K89" s="9"/>
      <c r="L89" s="11"/>
    </row>
    <row r="90" customFormat="false" ht="23.85" hidden="false" customHeight="false" outlineLevel="0" collapsed="false">
      <c r="A90" s="7" t="s">
        <v>368</v>
      </c>
      <c r="B90" s="8" t="s">
        <v>369</v>
      </c>
      <c r="C90" s="7" t="s">
        <v>370</v>
      </c>
      <c r="D90" s="7" t="s">
        <v>27</v>
      </c>
      <c r="E90" s="8" t="s">
        <v>371</v>
      </c>
      <c r="F90" s="8"/>
      <c r="G90" s="7" t="s">
        <v>29</v>
      </c>
      <c r="H90" s="8"/>
      <c r="I90" s="9" t="s">
        <v>30</v>
      </c>
      <c r="J90" s="10"/>
      <c r="K90" s="9"/>
      <c r="L90" s="11"/>
    </row>
    <row r="91" customFormat="false" ht="23.85" hidden="false" customHeight="false" outlineLevel="0" collapsed="false">
      <c r="A91" s="7" t="s">
        <v>372</v>
      </c>
      <c r="B91" s="8" t="s">
        <v>373</v>
      </c>
      <c r="C91" s="7" t="s">
        <v>370</v>
      </c>
      <c r="D91" s="7" t="s">
        <v>33</v>
      </c>
      <c r="E91" s="8" t="s">
        <v>374</v>
      </c>
      <c r="F91" s="8" t="s">
        <v>375</v>
      </c>
      <c r="G91" s="7" t="s">
        <v>29</v>
      </c>
      <c r="H91" s="8"/>
      <c r="I91" s="9" t="s">
        <v>30</v>
      </c>
      <c r="J91" s="10"/>
      <c r="K91" s="9"/>
      <c r="L91" s="11"/>
    </row>
    <row r="92" customFormat="false" ht="23.85" hidden="false" customHeight="false" outlineLevel="0" collapsed="false">
      <c r="A92" s="7" t="s">
        <v>376</v>
      </c>
      <c r="B92" s="8" t="s">
        <v>377</v>
      </c>
      <c r="C92" s="7" t="s">
        <v>370</v>
      </c>
      <c r="D92" s="7" t="s">
        <v>33</v>
      </c>
      <c r="E92" s="8" t="s">
        <v>378</v>
      </c>
      <c r="F92" s="8" t="s">
        <v>379</v>
      </c>
      <c r="G92" s="7" t="s">
        <v>29</v>
      </c>
      <c r="H92" s="8"/>
      <c r="I92" s="9" t="s">
        <v>30</v>
      </c>
      <c r="J92" s="10"/>
      <c r="K92" s="9"/>
      <c r="L92" s="11"/>
    </row>
    <row r="93" customFormat="false" ht="15" hidden="false" customHeight="false" outlineLevel="0" collapsed="false">
      <c r="A93" s="7" t="s">
        <v>380</v>
      </c>
      <c r="B93" s="8" t="s">
        <v>381</v>
      </c>
      <c r="C93" s="7" t="s">
        <v>370</v>
      </c>
      <c r="D93" s="7" t="s">
        <v>33</v>
      </c>
      <c r="E93" s="8" t="s">
        <v>382</v>
      </c>
      <c r="F93" s="8" t="s">
        <v>383</v>
      </c>
      <c r="G93" s="7" t="s">
        <v>29</v>
      </c>
      <c r="H93" s="8"/>
      <c r="I93" s="9" t="s">
        <v>30</v>
      </c>
      <c r="J93" s="10"/>
      <c r="K93" s="9"/>
      <c r="L93" s="11"/>
    </row>
    <row r="94" customFormat="false" ht="23.85" hidden="false" customHeight="false" outlineLevel="0" collapsed="false">
      <c r="A94" s="7" t="s">
        <v>384</v>
      </c>
      <c r="B94" s="8" t="s">
        <v>385</v>
      </c>
      <c r="C94" s="7" t="s">
        <v>370</v>
      </c>
      <c r="D94" s="7" t="s">
        <v>33</v>
      </c>
      <c r="E94" s="8" t="s">
        <v>386</v>
      </c>
      <c r="F94" s="8" t="s">
        <v>387</v>
      </c>
      <c r="G94" s="7" t="s">
        <v>29</v>
      </c>
      <c r="H94" s="8"/>
      <c r="I94" s="9" t="s">
        <v>30</v>
      </c>
      <c r="J94" s="10"/>
      <c r="K94" s="9"/>
      <c r="L94" s="11"/>
    </row>
    <row r="95" customFormat="false" ht="23.85" hidden="false" customHeight="false" outlineLevel="0" collapsed="false">
      <c r="A95" s="7" t="s">
        <v>388</v>
      </c>
      <c r="B95" s="8" t="s">
        <v>389</v>
      </c>
      <c r="C95" s="7" t="s">
        <v>370</v>
      </c>
      <c r="D95" s="7" t="s">
        <v>50</v>
      </c>
      <c r="E95" s="8" t="s">
        <v>390</v>
      </c>
      <c r="F95" s="8"/>
      <c r="G95" s="7" t="s">
        <v>29</v>
      </c>
      <c r="H95" s="8"/>
      <c r="I95" s="9" t="s">
        <v>30</v>
      </c>
      <c r="J95" s="10"/>
      <c r="K95" s="9"/>
      <c r="L95" s="11"/>
    </row>
    <row r="96" customFormat="false" ht="23.85" hidden="false" customHeight="false" outlineLevel="0" collapsed="false">
      <c r="A96" s="7" t="s">
        <v>391</v>
      </c>
      <c r="B96" s="8" t="s">
        <v>392</v>
      </c>
      <c r="C96" s="7" t="s">
        <v>370</v>
      </c>
      <c r="D96" s="7" t="s">
        <v>80</v>
      </c>
      <c r="E96" s="8" t="s">
        <v>393</v>
      </c>
      <c r="F96" s="8" t="s">
        <v>394</v>
      </c>
      <c r="G96" s="7" t="s">
        <v>83</v>
      </c>
      <c r="H96" s="8"/>
      <c r="I96" s="9" t="s">
        <v>30</v>
      </c>
      <c r="J96" s="10"/>
      <c r="K96" s="9"/>
      <c r="L96" s="11"/>
    </row>
    <row r="97" customFormat="false" ht="35.05" hidden="false" customHeight="false" outlineLevel="0" collapsed="false">
      <c r="A97" s="7" t="s">
        <v>395</v>
      </c>
      <c r="B97" s="8" t="s">
        <v>396</v>
      </c>
      <c r="C97" s="7" t="s">
        <v>370</v>
      </c>
      <c r="D97" s="7" t="s">
        <v>80</v>
      </c>
      <c r="E97" s="8" t="s">
        <v>397</v>
      </c>
      <c r="F97" s="8" t="s">
        <v>398</v>
      </c>
      <c r="G97" s="7" t="s">
        <v>83</v>
      </c>
      <c r="H97" s="8"/>
      <c r="I97" s="9" t="s">
        <v>30</v>
      </c>
      <c r="J97" s="10"/>
      <c r="K97" s="9"/>
      <c r="L97" s="11"/>
    </row>
    <row r="98" customFormat="false" ht="46.25" hidden="false" customHeight="false" outlineLevel="0" collapsed="false">
      <c r="A98" s="7" t="s">
        <v>399</v>
      </c>
      <c r="B98" s="8" t="s">
        <v>400</v>
      </c>
      <c r="C98" s="7" t="s">
        <v>370</v>
      </c>
      <c r="D98" s="7" t="s">
        <v>80</v>
      </c>
      <c r="E98" s="8" t="s">
        <v>401</v>
      </c>
      <c r="F98" s="8" t="s">
        <v>402</v>
      </c>
      <c r="G98" s="7" t="s">
        <v>83</v>
      </c>
      <c r="H98" s="8"/>
      <c r="I98" s="9" t="s">
        <v>30</v>
      </c>
      <c r="J98" s="10"/>
      <c r="K98" s="9"/>
      <c r="L98" s="11"/>
    </row>
    <row r="99" customFormat="false" ht="23.85" hidden="false" customHeight="false" outlineLevel="0" collapsed="false">
      <c r="A99" s="7" t="s">
        <v>403</v>
      </c>
      <c r="B99" s="8" t="s">
        <v>404</v>
      </c>
      <c r="C99" s="7" t="s">
        <v>405</v>
      </c>
      <c r="D99" s="7" t="s">
        <v>27</v>
      </c>
      <c r="E99" s="8" t="s">
        <v>406</v>
      </c>
      <c r="F99" s="8"/>
      <c r="G99" s="7" t="s">
        <v>29</v>
      </c>
      <c r="H99" s="8"/>
      <c r="I99" s="9" t="s">
        <v>30</v>
      </c>
      <c r="J99" s="10"/>
      <c r="K99" s="9"/>
      <c r="L99" s="11"/>
    </row>
    <row r="100" customFormat="false" ht="23.85" hidden="false" customHeight="false" outlineLevel="0" collapsed="false">
      <c r="A100" s="7" t="s">
        <v>407</v>
      </c>
      <c r="B100" s="8" t="s">
        <v>408</v>
      </c>
      <c r="C100" s="7" t="s">
        <v>405</v>
      </c>
      <c r="D100" s="7" t="s">
        <v>33</v>
      </c>
      <c r="E100" s="8" t="s">
        <v>409</v>
      </c>
      <c r="F100" s="8" t="s">
        <v>410</v>
      </c>
      <c r="G100" s="7" t="s">
        <v>29</v>
      </c>
      <c r="H100" s="8"/>
      <c r="I100" s="9" t="s">
        <v>30</v>
      </c>
      <c r="J100" s="10"/>
      <c r="K100" s="9"/>
      <c r="L100" s="11"/>
    </row>
    <row r="101" customFormat="false" ht="15" hidden="false" customHeight="false" outlineLevel="0" collapsed="false">
      <c r="A101" s="7" t="s">
        <v>411</v>
      </c>
      <c r="B101" s="8" t="s">
        <v>412</v>
      </c>
      <c r="C101" s="7" t="s">
        <v>405</v>
      </c>
      <c r="D101" s="7" t="s">
        <v>33</v>
      </c>
      <c r="E101" s="8" t="s">
        <v>413</v>
      </c>
      <c r="F101" s="8" t="s">
        <v>414</v>
      </c>
      <c r="G101" s="7" t="s">
        <v>29</v>
      </c>
      <c r="H101" s="8"/>
      <c r="I101" s="9" t="s">
        <v>30</v>
      </c>
      <c r="J101" s="10"/>
      <c r="K101" s="9"/>
      <c r="L101" s="11"/>
    </row>
    <row r="102" customFormat="false" ht="23.85" hidden="false" customHeight="false" outlineLevel="0" collapsed="false">
      <c r="A102" s="7" t="s">
        <v>415</v>
      </c>
      <c r="B102" s="8" t="s">
        <v>416</v>
      </c>
      <c r="C102" s="7" t="s">
        <v>405</v>
      </c>
      <c r="D102" s="7" t="s">
        <v>33</v>
      </c>
      <c r="E102" s="8" t="s">
        <v>417</v>
      </c>
      <c r="F102" s="8"/>
      <c r="G102" s="7" t="s">
        <v>29</v>
      </c>
      <c r="H102" s="8"/>
      <c r="I102" s="9" t="s">
        <v>30</v>
      </c>
      <c r="J102" s="10"/>
      <c r="K102" s="9"/>
      <c r="L102" s="11"/>
    </row>
    <row r="103" customFormat="false" ht="23.85" hidden="false" customHeight="false" outlineLevel="0" collapsed="false">
      <c r="A103" s="7" t="s">
        <v>418</v>
      </c>
      <c r="B103" s="8" t="s">
        <v>419</v>
      </c>
      <c r="C103" s="7" t="s">
        <v>405</v>
      </c>
      <c r="D103" s="7" t="s">
        <v>33</v>
      </c>
      <c r="E103" s="8" t="s">
        <v>420</v>
      </c>
      <c r="F103" s="8" t="s">
        <v>421</v>
      </c>
      <c r="G103" s="7" t="s">
        <v>29</v>
      </c>
      <c r="H103" s="8"/>
      <c r="I103" s="9" t="s">
        <v>30</v>
      </c>
      <c r="J103" s="10"/>
      <c r="K103" s="9"/>
      <c r="L103" s="11"/>
    </row>
    <row r="104" customFormat="false" ht="23.85" hidden="false" customHeight="false" outlineLevel="0" collapsed="false">
      <c r="A104" s="7" t="s">
        <v>422</v>
      </c>
      <c r="B104" s="8" t="s">
        <v>423</v>
      </c>
      <c r="C104" s="7" t="s">
        <v>405</v>
      </c>
      <c r="D104" s="7" t="s">
        <v>50</v>
      </c>
      <c r="E104" s="8" t="s">
        <v>424</v>
      </c>
      <c r="F104" s="8"/>
      <c r="G104" s="7" t="s">
        <v>29</v>
      </c>
      <c r="H104" s="8"/>
      <c r="I104" s="9" t="s">
        <v>30</v>
      </c>
      <c r="J104" s="10"/>
      <c r="K104" s="9"/>
      <c r="L104" s="11"/>
    </row>
    <row r="105" customFormat="false" ht="23.85" hidden="false" customHeight="false" outlineLevel="0" collapsed="false">
      <c r="A105" s="7" t="s">
        <v>425</v>
      </c>
      <c r="B105" s="8" t="s">
        <v>426</v>
      </c>
      <c r="C105" s="7" t="s">
        <v>405</v>
      </c>
      <c r="D105" s="7" t="s">
        <v>80</v>
      </c>
      <c r="E105" s="8" t="s">
        <v>427</v>
      </c>
      <c r="F105" s="8" t="s">
        <v>428</v>
      </c>
      <c r="G105" s="7" t="s">
        <v>83</v>
      </c>
      <c r="H105" s="8"/>
      <c r="I105" s="9" t="s">
        <v>30</v>
      </c>
      <c r="J105" s="10"/>
      <c r="K105" s="9"/>
      <c r="L105" s="11"/>
    </row>
    <row r="106" customFormat="false" ht="46.25" hidden="false" customHeight="false" outlineLevel="0" collapsed="false">
      <c r="A106" s="7" t="s">
        <v>429</v>
      </c>
      <c r="B106" s="8" t="s">
        <v>430</v>
      </c>
      <c r="C106" s="7" t="s">
        <v>405</v>
      </c>
      <c r="D106" s="7" t="s">
        <v>80</v>
      </c>
      <c r="E106" s="8" t="s">
        <v>431</v>
      </c>
      <c r="F106" s="8" t="s">
        <v>432</v>
      </c>
      <c r="G106" s="7" t="s">
        <v>83</v>
      </c>
      <c r="H106" s="8"/>
      <c r="I106" s="9" t="s">
        <v>30</v>
      </c>
      <c r="J106" s="10"/>
      <c r="K106" s="9"/>
      <c r="L106" s="11"/>
    </row>
    <row r="107" customFormat="false" ht="46.25" hidden="false" customHeight="false" outlineLevel="0" collapsed="false">
      <c r="A107" s="7" t="s">
        <v>433</v>
      </c>
      <c r="B107" s="8" t="s">
        <v>434</v>
      </c>
      <c r="C107" s="7" t="s">
        <v>405</v>
      </c>
      <c r="D107" s="7" t="s">
        <v>80</v>
      </c>
      <c r="E107" s="8" t="s">
        <v>435</v>
      </c>
      <c r="F107" s="8" t="s">
        <v>436</v>
      </c>
      <c r="G107" s="7" t="s">
        <v>83</v>
      </c>
      <c r="H107" s="8"/>
      <c r="I107" s="9" t="s">
        <v>30</v>
      </c>
      <c r="J107" s="10"/>
      <c r="K107" s="9"/>
      <c r="L107" s="11"/>
    </row>
    <row r="108" customFormat="false" ht="23.85" hidden="false" customHeight="false" outlineLevel="0" collapsed="false">
      <c r="A108" s="7" t="s">
        <v>437</v>
      </c>
      <c r="B108" s="8" t="s">
        <v>438</v>
      </c>
      <c r="C108" s="7" t="s">
        <v>439</v>
      </c>
      <c r="D108" s="7" t="s">
        <v>27</v>
      </c>
      <c r="E108" s="8" t="s">
        <v>440</v>
      </c>
      <c r="F108" s="8"/>
      <c r="G108" s="7" t="s">
        <v>29</v>
      </c>
      <c r="H108" s="8"/>
      <c r="I108" s="9" t="s">
        <v>30</v>
      </c>
      <c r="J108" s="10"/>
      <c r="K108" s="9"/>
      <c r="L108" s="11"/>
    </row>
    <row r="109" customFormat="false" ht="23.85" hidden="false" customHeight="false" outlineLevel="0" collapsed="false">
      <c r="A109" s="7" t="s">
        <v>441</v>
      </c>
      <c r="B109" s="8" t="s">
        <v>442</v>
      </c>
      <c r="C109" s="7" t="s">
        <v>439</v>
      </c>
      <c r="D109" s="7" t="s">
        <v>33</v>
      </c>
      <c r="E109" s="8" t="s">
        <v>443</v>
      </c>
      <c r="F109" s="8" t="s">
        <v>444</v>
      </c>
      <c r="G109" s="7" t="s">
        <v>29</v>
      </c>
      <c r="H109" s="8"/>
      <c r="I109" s="9" t="s">
        <v>30</v>
      </c>
      <c r="J109" s="10"/>
      <c r="K109" s="9"/>
      <c r="L109" s="11"/>
    </row>
    <row r="110" customFormat="false" ht="23.85" hidden="false" customHeight="false" outlineLevel="0" collapsed="false">
      <c r="A110" s="7" t="s">
        <v>445</v>
      </c>
      <c r="B110" s="8" t="s">
        <v>446</v>
      </c>
      <c r="C110" s="7" t="s">
        <v>439</v>
      </c>
      <c r="D110" s="7" t="s">
        <v>33</v>
      </c>
      <c r="E110" s="8" t="s">
        <v>447</v>
      </c>
      <c r="F110" s="8"/>
      <c r="G110" s="7" t="s">
        <v>29</v>
      </c>
      <c r="H110" s="8"/>
      <c r="I110" s="9" t="s">
        <v>30</v>
      </c>
      <c r="J110" s="10"/>
      <c r="K110" s="9"/>
      <c r="L110" s="11"/>
    </row>
    <row r="111" customFormat="false" ht="23.85" hidden="false" customHeight="false" outlineLevel="0" collapsed="false">
      <c r="A111" s="7" t="s">
        <v>448</v>
      </c>
      <c r="B111" s="8" t="s">
        <v>449</v>
      </c>
      <c r="C111" s="7" t="s">
        <v>439</v>
      </c>
      <c r="D111" s="7" t="s">
        <v>33</v>
      </c>
      <c r="E111" s="8" t="s">
        <v>450</v>
      </c>
      <c r="F111" s="8" t="s">
        <v>451</v>
      </c>
      <c r="G111" s="7" t="s">
        <v>29</v>
      </c>
      <c r="H111" s="8"/>
      <c r="I111" s="9" t="s">
        <v>30</v>
      </c>
      <c r="J111" s="10"/>
      <c r="K111" s="9"/>
      <c r="L111" s="11"/>
    </row>
    <row r="112" customFormat="false" ht="23.85" hidden="false" customHeight="false" outlineLevel="0" collapsed="false">
      <c r="A112" s="7" t="s">
        <v>452</v>
      </c>
      <c r="B112" s="8" t="s">
        <v>453</v>
      </c>
      <c r="C112" s="7" t="s">
        <v>439</v>
      </c>
      <c r="D112" s="7" t="s">
        <v>33</v>
      </c>
      <c r="E112" s="8" t="s">
        <v>454</v>
      </c>
      <c r="F112" s="8" t="s">
        <v>455</v>
      </c>
      <c r="G112" s="7" t="s">
        <v>29</v>
      </c>
      <c r="H112" s="8"/>
      <c r="I112" s="9" t="s">
        <v>30</v>
      </c>
      <c r="J112" s="10"/>
      <c r="K112" s="9"/>
      <c r="L112" s="11"/>
    </row>
    <row r="113" customFormat="false" ht="23.85" hidden="false" customHeight="false" outlineLevel="0" collapsed="false">
      <c r="A113" s="7" t="s">
        <v>456</v>
      </c>
      <c r="B113" s="8" t="s">
        <v>457</v>
      </c>
      <c r="C113" s="7" t="s">
        <v>439</v>
      </c>
      <c r="D113" s="7" t="s">
        <v>50</v>
      </c>
      <c r="E113" s="8" t="s">
        <v>458</v>
      </c>
      <c r="F113" s="8"/>
      <c r="G113" s="7" t="s">
        <v>29</v>
      </c>
      <c r="H113" s="8"/>
      <c r="I113" s="9" t="s">
        <v>30</v>
      </c>
      <c r="J113" s="10"/>
      <c r="K113" s="9"/>
      <c r="L113" s="11"/>
    </row>
    <row r="114" customFormat="false" ht="35.05" hidden="false" customHeight="false" outlineLevel="0" collapsed="false">
      <c r="A114" s="7" t="s">
        <v>459</v>
      </c>
      <c r="B114" s="8" t="s">
        <v>460</v>
      </c>
      <c r="C114" s="7" t="s">
        <v>439</v>
      </c>
      <c r="D114" s="7" t="s">
        <v>80</v>
      </c>
      <c r="E114" s="8" t="s">
        <v>461</v>
      </c>
      <c r="F114" s="8" t="s">
        <v>462</v>
      </c>
      <c r="G114" s="7" t="s">
        <v>83</v>
      </c>
      <c r="H114" s="8"/>
      <c r="I114" s="9" t="s">
        <v>30</v>
      </c>
      <c r="J114" s="10"/>
      <c r="K114" s="9"/>
      <c r="L114" s="11"/>
    </row>
    <row r="115" customFormat="false" ht="46.25" hidden="false" customHeight="false" outlineLevel="0" collapsed="false">
      <c r="A115" s="7" t="s">
        <v>463</v>
      </c>
      <c r="B115" s="8" t="s">
        <v>464</v>
      </c>
      <c r="C115" s="7" t="s">
        <v>439</v>
      </c>
      <c r="D115" s="7" t="s">
        <v>80</v>
      </c>
      <c r="E115" s="8" t="s">
        <v>465</v>
      </c>
      <c r="F115" s="8" t="s">
        <v>466</v>
      </c>
      <c r="G115" s="7" t="s">
        <v>83</v>
      </c>
      <c r="H115" s="8"/>
      <c r="I115" s="9" t="s">
        <v>30</v>
      </c>
      <c r="J115" s="10"/>
      <c r="K115" s="9"/>
      <c r="L115" s="11"/>
    </row>
    <row r="116" customFormat="false" ht="46.25" hidden="false" customHeight="false" outlineLevel="0" collapsed="false">
      <c r="A116" s="7" t="s">
        <v>467</v>
      </c>
      <c r="B116" s="8" t="s">
        <v>468</v>
      </c>
      <c r="C116" s="7" t="s">
        <v>439</v>
      </c>
      <c r="D116" s="7" t="s">
        <v>80</v>
      </c>
      <c r="E116" s="8" t="s">
        <v>469</v>
      </c>
      <c r="F116" s="8" t="s">
        <v>470</v>
      </c>
      <c r="G116" s="7" t="s">
        <v>83</v>
      </c>
      <c r="H116" s="8"/>
      <c r="I116" s="9" t="s">
        <v>30</v>
      </c>
      <c r="J116" s="10"/>
      <c r="K116" s="9"/>
      <c r="L116" s="11"/>
    </row>
    <row r="117" customFormat="false" ht="23.85" hidden="false" customHeight="false" outlineLevel="0" collapsed="false">
      <c r="A117" s="7" t="s">
        <v>471</v>
      </c>
      <c r="B117" s="8" t="s">
        <v>472</v>
      </c>
      <c r="C117" s="7" t="s">
        <v>473</v>
      </c>
      <c r="D117" s="7" t="s">
        <v>27</v>
      </c>
      <c r="E117" s="8" t="s">
        <v>474</v>
      </c>
      <c r="F117" s="8"/>
      <c r="G117" s="7" t="s">
        <v>29</v>
      </c>
      <c r="H117" s="8"/>
      <c r="I117" s="9" t="s">
        <v>30</v>
      </c>
      <c r="J117" s="10"/>
      <c r="K117" s="9"/>
      <c r="L117" s="11"/>
    </row>
    <row r="118" customFormat="false" ht="23.85" hidden="false" customHeight="false" outlineLevel="0" collapsed="false">
      <c r="A118" s="7" t="s">
        <v>475</v>
      </c>
      <c r="B118" s="8" t="s">
        <v>476</v>
      </c>
      <c r="C118" s="7" t="s">
        <v>473</v>
      </c>
      <c r="D118" s="7" t="s">
        <v>33</v>
      </c>
      <c r="E118" s="8" t="s">
        <v>477</v>
      </c>
      <c r="F118" s="8" t="s">
        <v>478</v>
      </c>
      <c r="G118" s="7" t="s">
        <v>29</v>
      </c>
      <c r="H118" s="8"/>
      <c r="I118" s="9" t="s">
        <v>30</v>
      </c>
      <c r="J118" s="10"/>
      <c r="K118" s="9"/>
      <c r="L118" s="11"/>
    </row>
    <row r="119" customFormat="false" ht="23.85" hidden="false" customHeight="false" outlineLevel="0" collapsed="false">
      <c r="A119" s="7" t="s">
        <v>479</v>
      </c>
      <c r="B119" s="8" t="s">
        <v>480</v>
      </c>
      <c r="C119" s="7" t="s">
        <v>473</v>
      </c>
      <c r="D119" s="7" t="s">
        <v>33</v>
      </c>
      <c r="E119" s="8" t="s">
        <v>481</v>
      </c>
      <c r="F119" s="8" t="s">
        <v>482</v>
      </c>
      <c r="G119" s="7" t="s">
        <v>29</v>
      </c>
      <c r="H119" s="8"/>
      <c r="I119" s="9" t="s">
        <v>30</v>
      </c>
      <c r="J119" s="10"/>
      <c r="K119" s="9"/>
      <c r="L119" s="11"/>
    </row>
    <row r="120" customFormat="false" ht="15" hidden="false" customHeight="false" outlineLevel="0" collapsed="false">
      <c r="A120" s="7" t="s">
        <v>483</v>
      </c>
      <c r="B120" s="8" t="s">
        <v>484</v>
      </c>
      <c r="C120" s="7" t="s">
        <v>473</v>
      </c>
      <c r="D120" s="7" t="s">
        <v>33</v>
      </c>
      <c r="E120" s="8" t="s">
        <v>485</v>
      </c>
      <c r="F120" s="8" t="s">
        <v>486</v>
      </c>
      <c r="G120" s="7" t="s">
        <v>29</v>
      </c>
      <c r="H120" s="8"/>
      <c r="I120" s="9" t="s">
        <v>30</v>
      </c>
      <c r="J120" s="10"/>
      <c r="K120" s="9"/>
      <c r="L120" s="11"/>
    </row>
    <row r="121" customFormat="false" ht="23.85" hidden="false" customHeight="false" outlineLevel="0" collapsed="false">
      <c r="A121" s="7" t="s">
        <v>487</v>
      </c>
      <c r="B121" s="8" t="s">
        <v>488</v>
      </c>
      <c r="C121" s="7" t="s">
        <v>473</v>
      </c>
      <c r="D121" s="7" t="s">
        <v>33</v>
      </c>
      <c r="E121" s="8" t="s">
        <v>489</v>
      </c>
      <c r="F121" s="8" t="s">
        <v>490</v>
      </c>
      <c r="G121" s="7" t="s">
        <v>29</v>
      </c>
      <c r="H121" s="8"/>
      <c r="I121" s="9" t="s">
        <v>30</v>
      </c>
      <c r="J121" s="10"/>
      <c r="K121" s="9"/>
      <c r="L121" s="11"/>
    </row>
    <row r="122" customFormat="false" ht="23.85" hidden="false" customHeight="false" outlineLevel="0" collapsed="false">
      <c r="A122" s="7" t="s">
        <v>491</v>
      </c>
      <c r="B122" s="8" t="s">
        <v>492</v>
      </c>
      <c r="C122" s="7" t="s">
        <v>473</v>
      </c>
      <c r="D122" s="7" t="s">
        <v>33</v>
      </c>
      <c r="E122" s="8" t="s">
        <v>493</v>
      </c>
      <c r="F122" s="8" t="s">
        <v>494</v>
      </c>
      <c r="G122" s="7" t="s">
        <v>29</v>
      </c>
      <c r="H122" s="8"/>
      <c r="I122" s="9" t="s">
        <v>30</v>
      </c>
      <c r="J122" s="10"/>
      <c r="K122" s="9"/>
      <c r="L122" s="11"/>
    </row>
    <row r="123" customFormat="false" ht="23.85" hidden="false" customHeight="false" outlineLevel="0" collapsed="false">
      <c r="A123" s="7" t="s">
        <v>495</v>
      </c>
      <c r="B123" s="8" t="s">
        <v>496</v>
      </c>
      <c r="C123" s="7" t="s">
        <v>473</v>
      </c>
      <c r="D123" s="7" t="s">
        <v>50</v>
      </c>
      <c r="E123" s="8" t="s">
        <v>497</v>
      </c>
      <c r="F123" s="8"/>
      <c r="G123" s="7" t="s">
        <v>29</v>
      </c>
      <c r="H123" s="8"/>
      <c r="I123" s="9" t="s">
        <v>30</v>
      </c>
      <c r="J123" s="10"/>
      <c r="K123" s="9"/>
      <c r="L123" s="11"/>
    </row>
    <row r="124" customFormat="false" ht="35.05" hidden="false" customHeight="false" outlineLevel="0" collapsed="false">
      <c r="A124" s="7" t="s">
        <v>498</v>
      </c>
      <c r="B124" s="8" t="s">
        <v>499</v>
      </c>
      <c r="C124" s="7" t="s">
        <v>473</v>
      </c>
      <c r="D124" s="7" t="s">
        <v>80</v>
      </c>
      <c r="E124" s="8" t="s">
        <v>500</v>
      </c>
      <c r="F124" s="8" t="s">
        <v>501</v>
      </c>
      <c r="G124" s="7" t="s">
        <v>83</v>
      </c>
      <c r="H124" s="8"/>
      <c r="I124" s="9" t="s">
        <v>30</v>
      </c>
      <c r="J124" s="10"/>
      <c r="K124" s="9"/>
      <c r="L124" s="11"/>
    </row>
    <row r="125" customFormat="false" ht="35.05" hidden="false" customHeight="false" outlineLevel="0" collapsed="false">
      <c r="A125" s="7" t="s">
        <v>502</v>
      </c>
      <c r="B125" s="8" t="s">
        <v>503</v>
      </c>
      <c r="C125" s="7" t="s">
        <v>473</v>
      </c>
      <c r="D125" s="7" t="s">
        <v>80</v>
      </c>
      <c r="E125" s="8" t="s">
        <v>504</v>
      </c>
      <c r="F125" s="8" t="s">
        <v>505</v>
      </c>
      <c r="G125" s="7" t="s">
        <v>83</v>
      </c>
      <c r="H125" s="8"/>
      <c r="I125" s="9" t="s">
        <v>30</v>
      </c>
      <c r="J125" s="10"/>
      <c r="K125" s="9"/>
      <c r="L125" s="11"/>
    </row>
    <row r="126" customFormat="false" ht="35.05" hidden="false" customHeight="false" outlineLevel="0" collapsed="false">
      <c r="A126" s="7" t="s">
        <v>506</v>
      </c>
      <c r="B126" s="8" t="s">
        <v>507</v>
      </c>
      <c r="C126" s="7" t="s">
        <v>473</v>
      </c>
      <c r="D126" s="7" t="s">
        <v>80</v>
      </c>
      <c r="E126" s="8" t="s">
        <v>508</v>
      </c>
      <c r="F126" s="8" t="s">
        <v>509</v>
      </c>
      <c r="G126" s="7" t="s">
        <v>83</v>
      </c>
      <c r="H126" s="8"/>
      <c r="I126" s="9" t="s">
        <v>30</v>
      </c>
      <c r="J126" s="10"/>
      <c r="K126" s="9"/>
      <c r="L126" s="11"/>
    </row>
    <row r="127" customFormat="false" ht="15" hidden="false" customHeight="false" outlineLevel="0" collapsed="false">
      <c r="A127" s="7" t="s">
        <v>510</v>
      </c>
      <c r="B127" s="8" t="s">
        <v>511</v>
      </c>
      <c r="C127" s="7" t="s">
        <v>512</v>
      </c>
      <c r="D127" s="7" t="s">
        <v>27</v>
      </c>
      <c r="E127" s="8" t="s">
        <v>513</v>
      </c>
      <c r="F127" s="8"/>
      <c r="G127" s="7" t="s">
        <v>29</v>
      </c>
      <c r="H127" s="8"/>
      <c r="I127" s="9" t="s">
        <v>30</v>
      </c>
      <c r="J127" s="10"/>
      <c r="K127" s="9"/>
      <c r="L127" s="11"/>
    </row>
    <row r="128" customFormat="false" ht="35.05" hidden="false" customHeight="false" outlineLevel="0" collapsed="false">
      <c r="A128" s="7" t="s">
        <v>514</v>
      </c>
      <c r="B128" s="8" t="s">
        <v>515</v>
      </c>
      <c r="C128" s="7" t="s">
        <v>512</v>
      </c>
      <c r="D128" s="7" t="s">
        <v>33</v>
      </c>
      <c r="E128" s="8" t="s">
        <v>516</v>
      </c>
      <c r="F128" s="8" t="s">
        <v>517</v>
      </c>
      <c r="G128" s="7" t="s">
        <v>29</v>
      </c>
      <c r="H128" s="8"/>
      <c r="I128" s="9" t="s">
        <v>30</v>
      </c>
      <c r="J128" s="10"/>
      <c r="K128" s="9"/>
      <c r="L128" s="11"/>
    </row>
    <row r="129" customFormat="false" ht="15" hidden="false" customHeight="false" outlineLevel="0" collapsed="false">
      <c r="A129" s="7" t="s">
        <v>518</v>
      </c>
      <c r="B129" s="8" t="s">
        <v>519</v>
      </c>
      <c r="C129" s="7" t="s">
        <v>512</v>
      </c>
      <c r="D129" s="7" t="s">
        <v>33</v>
      </c>
      <c r="E129" s="8" t="s">
        <v>520</v>
      </c>
      <c r="F129" s="8" t="s">
        <v>521</v>
      </c>
      <c r="G129" s="7" t="s">
        <v>29</v>
      </c>
      <c r="H129" s="8"/>
      <c r="I129" s="9" t="s">
        <v>30</v>
      </c>
      <c r="J129" s="10"/>
      <c r="K129" s="9"/>
      <c r="L129" s="11"/>
    </row>
    <row r="130" customFormat="false" ht="23.85" hidden="false" customHeight="false" outlineLevel="0" collapsed="false">
      <c r="A130" s="7" t="s">
        <v>522</v>
      </c>
      <c r="B130" s="8" t="s">
        <v>523</v>
      </c>
      <c r="C130" s="7" t="s">
        <v>512</v>
      </c>
      <c r="D130" s="7" t="s">
        <v>33</v>
      </c>
      <c r="E130" s="8" t="s">
        <v>524</v>
      </c>
      <c r="F130" s="8" t="s">
        <v>525</v>
      </c>
      <c r="G130" s="7" t="s">
        <v>29</v>
      </c>
      <c r="H130" s="8"/>
      <c r="I130" s="9" t="s">
        <v>30</v>
      </c>
      <c r="J130" s="10"/>
      <c r="K130" s="9"/>
      <c r="L130" s="11"/>
    </row>
    <row r="131" customFormat="false" ht="23.85" hidden="false" customHeight="false" outlineLevel="0" collapsed="false">
      <c r="A131" s="7" t="s">
        <v>526</v>
      </c>
      <c r="B131" s="8" t="s">
        <v>527</v>
      </c>
      <c r="C131" s="7" t="s">
        <v>512</v>
      </c>
      <c r="D131" s="7" t="s">
        <v>33</v>
      </c>
      <c r="E131" s="8" t="s">
        <v>528</v>
      </c>
      <c r="F131" s="8" t="s">
        <v>529</v>
      </c>
      <c r="G131" s="7" t="s">
        <v>29</v>
      </c>
      <c r="H131" s="8"/>
      <c r="I131" s="9" t="s">
        <v>30</v>
      </c>
      <c r="J131" s="10"/>
      <c r="K131" s="9"/>
      <c r="L131" s="11"/>
    </row>
    <row r="132" customFormat="false" ht="15" hidden="false" customHeight="false" outlineLevel="0" collapsed="false">
      <c r="A132" s="7" t="s">
        <v>530</v>
      </c>
      <c r="B132" s="8" t="s">
        <v>531</v>
      </c>
      <c r="C132" s="7" t="s">
        <v>512</v>
      </c>
      <c r="D132" s="7" t="s">
        <v>33</v>
      </c>
      <c r="E132" s="8" t="s">
        <v>532</v>
      </c>
      <c r="F132" s="8" t="s">
        <v>533</v>
      </c>
      <c r="G132" s="7" t="s">
        <v>29</v>
      </c>
      <c r="H132" s="8"/>
      <c r="I132" s="9" t="s">
        <v>30</v>
      </c>
      <c r="J132" s="10"/>
      <c r="K132" s="9"/>
      <c r="L132" s="11"/>
    </row>
    <row r="133" customFormat="false" ht="23.85" hidden="false" customHeight="false" outlineLevel="0" collapsed="false">
      <c r="A133" s="7" t="s">
        <v>534</v>
      </c>
      <c r="B133" s="8" t="s">
        <v>535</v>
      </c>
      <c r="C133" s="7" t="s">
        <v>512</v>
      </c>
      <c r="D133" s="7" t="s">
        <v>50</v>
      </c>
      <c r="E133" s="8" t="s">
        <v>536</v>
      </c>
      <c r="F133" s="8"/>
      <c r="G133" s="7" t="s">
        <v>29</v>
      </c>
      <c r="H133" s="8"/>
      <c r="I133" s="9" t="s">
        <v>30</v>
      </c>
      <c r="J133" s="10"/>
      <c r="K133" s="9"/>
      <c r="L133" s="11"/>
    </row>
    <row r="134" customFormat="false" ht="35.05" hidden="false" customHeight="false" outlineLevel="0" collapsed="false">
      <c r="A134" s="7" t="s">
        <v>537</v>
      </c>
      <c r="B134" s="8" t="s">
        <v>538</v>
      </c>
      <c r="C134" s="7" t="s">
        <v>512</v>
      </c>
      <c r="D134" s="7" t="s">
        <v>80</v>
      </c>
      <c r="E134" s="8" t="s">
        <v>539</v>
      </c>
      <c r="F134" s="8" t="s">
        <v>540</v>
      </c>
      <c r="G134" s="7" t="s">
        <v>83</v>
      </c>
      <c r="H134" s="8"/>
      <c r="I134" s="9" t="s">
        <v>30</v>
      </c>
      <c r="J134" s="10"/>
      <c r="K134" s="9"/>
      <c r="L134" s="11"/>
    </row>
    <row r="135" customFormat="false" ht="46.25" hidden="false" customHeight="false" outlineLevel="0" collapsed="false">
      <c r="A135" s="7" t="s">
        <v>541</v>
      </c>
      <c r="B135" s="8" t="s">
        <v>542</v>
      </c>
      <c r="C135" s="7" t="s">
        <v>512</v>
      </c>
      <c r="D135" s="7" t="s">
        <v>80</v>
      </c>
      <c r="E135" s="8" t="s">
        <v>543</v>
      </c>
      <c r="F135" s="8" t="s">
        <v>544</v>
      </c>
      <c r="G135" s="7" t="s">
        <v>83</v>
      </c>
      <c r="H135" s="8"/>
      <c r="I135" s="9" t="s">
        <v>30</v>
      </c>
      <c r="J135" s="10"/>
      <c r="K135" s="9"/>
      <c r="L135" s="11"/>
    </row>
    <row r="136" customFormat="false" ht="46.25" hidden="false" customHeight="false" outlineLevel="0" collapsed="false">
      <c r="A136" s="7" t="s">
        <v>545</v>
      </c>
      <c r="B136" s="8" t="s">
        <v>546</v>
      </c>
      <c r="C136" s="7" t="s">
        <v>512</v>
      </c>
      <c r="D136" s="7" t="s">
        <v>80</v>
      </c>
      <c r="E136" s="8" t="s">
        <v>547</v>
      </c>
      <c r="F136" s="8" t="s">
        <v>548</v>
      </c>
      <c r="G136" s="7" t="s">
        <v>83</v>
      </c>
      <c r="H136" s="8"/>
      <c r="I136" s="9" t="s">
        <v>30</v>
      </c>
      <c r="J136" s="10"/>
      <c r="K136" s="9"/>
      <c r="L136" s="11"/>
    </row>
    <row r="137" customFormat="false" ht="23.85" hidden="false" customHeight="false" outlineLevel="0" collapsed="false">
      <c r="A137" s="7" t="s">
        <v>549</v>
      </c>
      <c r="B137" s="8" t="s">
        <v>550</v>
      </c>
      <c r="C137" s="7" t="s">
        <v>551</v>
      </c>
      <c r="D137" s="7" t="s">
        <v>27</v>
      </c>
      <c r="E137" s="8" t="s">
        <v>552</v>
      </c>
      <c r="F137" s="8"/>
      <c r="G137" s="7" t="s">
        <v>29</v>
      </c>
      <c r="H137" s="8"/>
      <c r="I137" s="9" t="s">
        <v>30</v>
      </c>
      <c r="J137" s="10"/>
      <c r="K137" s="9"/>
      <c r="L137" s="11"/>
    </row>
    <row r="138" customFormat="false" ht="35.05" hidden="false" customHeight="false" outlineLevel="0" collapsed="false">
      <c r="A138" s="7" t="s">
        <v>553</v>
      </c>
      <c r="B138" s="8" t="s">
        <v>554</v>
      </c>
      <c r="C138" s="7" t="s">
        <v>551</v>
      </c>
      <c r="D138" s="7" t="s">
        <v>33</v>
      </c>
      <c r="E138" s="8" t="s">
        <v>555</v>
      </c>
      <c r="F138" s="8" t="s">
        <v>556</v>
      </c>
      <c r="G138" s="7" t="s">
        <v>29</v>
      </c>
      <c r="H138" s="8" t="s">
        <v>557</v>
      </c>
      <c r="I138" s="9" t="s">
        <v>30</v>
      </c>
      <c r="J138" s="10"/>
      <c r="K138" s="9"/>
      <c r="L138" s="11"/>
    </row>
    <row r="139" customFormat="false" ht="23.85" hidden="false" customHeight="false" outlineLevel="0" collapsed="false">
      <c r="A139" s="7" t="s">
        <v>558</v>
      </c>
      <c r="B139" s="8" t="s">
        <v>559</v>
      </c>
      <c r="C139" s="7" t="s">
        <v>551</v>
      </c>
      <c r="D139" s="7" t="s">
        <v>33</v>
      </c>
      <c r="E139" s="8" t="s">
        <v>560</v>
      </c>
      <c r="F139" s="8" t="s">
        <v>561</v>
      </c>
      <c r="G139" s="7" t="s">
        <v>29</v>
      </c>
      <c r="H139" s="8"/>
      <c r="I139" s="9" t="s">
        <v>30</v>
      </c>
      <c r="J139" s="10"/>
      <c r="K139" s="9"/>
      <c r="L139" s="11"/>
    </row>
    <row r="140" customFormat="false" ht="23.85" hidden="false" customHeight="false" outlineLevel="0" collapsed="false">
      <c r="A140" s="7" t="s">
        <v>562</v>
      </c>
      <c r="B140" s="8" t="s">
        <v>563</v>
      </c>
      <c r="C140" s="7" t="s">
        <v>551</v>
      </c>
      <c r="D140" s="7" t="s">
        <v>33</v>
      </c>
      <c r="E140" s="8" t="s">
        <v>564</v>
      </c>
      <c r="F140" s="8" t="s">
        <v>565</v>
      </c>
      <c r="G140" s="7" t="s">
        <v>29</v>
      </c>
      <c r="H140" s="8"/>
      <c r="I140" s="9" t="s">
        <v>30</v>
      </c>
      <c r="J140" s="10"/>
      <c r="K140" s="9"/>
      <c r="L140" s="11"/>
    </row>
    <row r="141" customFormat="false" ht="35.05" hidden="false" customHeight="false" outlineLevel="0" collapsed="false">
      <c r="A141" s="7" t="s">
        <v>566</v>
      </c>
      <c r="B141" s="8" t="s">
        <v>567</v>
      </c>
      <c r="C141" s="7" t="s">
        <v>551</v>
      </c>
      <c r="D141" s="7" t="s">
        <v>33</v>
      </c>
      <c r="E141" s="8" t="s">
        <v>568</v>
      </c>
      <c r="F141" s="8" t="s">
        <v>569</v>
      </c>
      <c r="G141" s="7" t="s">
        <v>29</v>
      </c>
      <c r="H141" s="8"/>
      <c r="I141" s="9" t="s">
        <v>30</v>
      </c>
      <c r="J141" s="10"/>
      <c r="K141" s="9"/>
      <c r="L141" s="11"/>
    </row>
    <row r="142" customFormat="false" ht="23.85" hidden="false" customHeight="false" outlineLevel="0" collapsed="false">
      <c r="A142" s="7" t="s">
        <v>570</v>
      </c>
      <c r="B142" s="8" t="s">
        <v>571</v>
      </c>
      <c r="C142" s="7" t="s">
        <v>551</v>
      </c>
      <c r="D142" s="7" t="s">
        <v>33</v>
      </c>
      <c r="E142" s="8" t="s">
        <v>572</v>
      </c>
      <c r="F142" s="8"/>
      <c r="G142" s="7" t="s">
        <v>29</v>
      </c>
      <c r="H142" s="8"/>
      <c r="I142" s="9" t="s">
        <v>30</v>
      </c>
      <c r="J142" s="10"/>
      <c r="K142" s="9"/>
      <c r="L142" s="11"/>
    </row>
    <row r="143" customFormat="false" ht="23.85" hidden="false" customHeight="false" outlineLevel="0" collapsed="false">
      <c r="A143" s="7" t="s">
        <v>573</v>
      </c>
      <c r="B143" s="8" t="s">
        <v>574</v>
      </c>
      <c r="C143" s="7" t="s">
        <v>551</v>
      </c>
      <c r="D143" s="7" t="s">
        <v>50</v>
      </c>
      <c r="E143" s="8" t="s">
        <v>575</v>
      </c>
      <c r="F143" s="8"/>
      <c r="G143" s="7" t="s">
        <v>29</v>
      </c>
      <c r="H143" s="8"/>
      <c r="I143" s="9" t="s">
        <v>30</v>
      </c>
      <c r="J143" s="10"/>
      <c r="K143" s="9"/>
      <c r="L143" s="11"/>
    </row>
    <row r="144" customFormat="false" ht="35.05" hidden="false" customHeight="false" outlineLevel="0" collapsed="false">
      <c r="A144" s="7" t="s">
        <v>576</v>
      </c>
      <c r="B144" s="8" t="s">
        <v>577</v>
      </c>
      <c r="C144" s="7" t="s">
        <v>551</v>
      </c>
      <c r="D144" s="7" t="s">
        <v>80</v>
      </c>
      <c r="E144" s="8" t="s">
        <v>578</v>
      </c>
      <c r="F144" s="8" t="s">
        <v>579</v>
      </c>
      <c r="G144" s="7" t="s">
        <v>83</v>
      </c>
      <c r="H144" s="8" t="s">
        <v>557</v>
      </c>
      <c r="I144" s="9" t="s">
        <v>30</v>
      </c>
      <c r="J144" s="10"/>
      <c r="K144" s="9"/>
      <c r="L144" s="11"/>
    </row>
    <row r="145" customFormat="false" ht="23.85" hidden="false" customHeight="false" outlineLevel="0" collapsed="false">
      <c r="A145" s="7" t="s">
        <v>580</v>
      </c>
      <c r="B145" s="8" t="s">
        <v>581</v>
      </c>
      <c r="C145" s="7" t="s">
        <v>551</v>
      </c>
      <c r="D145" s="7" t="s">
        <v>80</v>
      </c>
      <c r="E145" s="8" t="s">
        <v>582</v>
      </c>
      <c r="F145" s="8" t="s">
        <v>583</v>
      </c>
      <c r="G145" s="7" t="s">
        <v>83</v>
      </c>
      <c r="H145" s="8"/>
      <c r="I145" s="9" t="s">
        <v>30</v>
      </c>
      <c r="J145" s="10"/>
      <c r="K145" s="9"/>
      <c r="L145" s="11"/>
    </row>
    <row r="146" customFormat="false" ht="57.45" hidden="false" customHeight="false" outlineLevel="0" collapsed="false">
      <c r="A146" s="7" t="s">
        <v>584</v>
      </c>
      <c r="B146" s="8" t="s">
        <v>585</v>
      </c>
      <c r="C146" s="7" t="s">
        <v>551</v>
      </c>
      <c r="D146" s="7" t="s">
        <v>80</v>
      </c>
      <c r="E146" s="8" t="s">
        <v>586</v>
      </c>
      <c r="F146" s="8" t="s">
        <v>587</v>
      </c>
      <c r="G146" s="7" t="s">
        <v>83</v>
      </c>
      <c r="H146" s="8"/>
      <c r="I146" s="9" t="s">
        <v>30</v>
      </c>
      <c r="J146" s="10"/>
      <c r="K146" s="9"/>
      <c r="L146" s="11"/>
    </row>
    <row r="147" customFormat="false" ht="15" hidden="false" customHeight="false" outlineLevel="0" collapsed="false">
      <c r="A147" s="7" t="s">
        <v>588</v>
      </c>
      <c r="B147" s="8" t="s">
        <v>589</v>
      </c>
      <c r="C147" s="7" t="s">
        <v>590</v>
      </c>
      <c r="D147" s="7" t="s">
        <v>27</v>
      </c>
      <c r="E147" s="8" t="s">
        <v>591</v>
      </c>
      <c r="F147" s="8"/>
      <c r="G147" s="7" t="s">
        <v>29</v>
      </c>
      <c r="H147" s="8"/>
      <c r="I147" s="9" t="s">
        <v>30</v>
      </c>
      <c r="J147" s="10"/>
      <c r="K147" s="9"/>
      <c r="L147" s="11"/>
    </row>
    <row r="148" customFormat="false" ht="15" hidden="false" customHeight="false" outlineLevel="0" collapsed="false">
      <c r="A148" s="7" t="s">
        <v>592</v>
      </c>
      <c r="B148" s="8" t="s">
        <v>593</v>
      </c>
      <c r="C148" s="7" t="s">
        <v>590</v>
      </c>
      <c r="D148" s="7" t="s">
        <v>33</v>
      </c>
      <c r="E148" s="8" t="s">
        <v>594</v>
      </c>
      <c r="F148" s="8" t="s">
        <v>595</v>
      </c>
      <c r="G148" s="7" t="s">
        <v>29</v>
      </c>
      <c r="H148" s="8"/>
      <c r="I148" s="9" t="s">
        <v>30</v>
      </c>
      <c r="J148" s="10"/>
      <c r="K148" s="9"/>
      <c r="L148" s="11"/>
    </row>
    <row r="149" customFormat="false" ht="23.85" hidden="false" customHeight="false" outlineLevel="0" collapsed="false">
      <c r="A149" s="7" t="s">
        <v>596</v>
      </c>
      <c r="B149" s="8" t="s">
        <v>597</v>
      </c>
      <c r="C149" s="7" t="s">
        <v>590</v>
      </c>
      <c r="D149" s="7" t="s">
        <v>33</v>
      </c>
      <c r="E149" s="8" t="s">
        <v>598</v>
      </c>
      <c r="F149" s="8" t="s">
        <v>599</v>
      </c>
      <c r="G149" s="7" t="s">
        <v>29</v>
      </c>
      <c r="H149" s="8"/>
      <c r="I149" s="9" t="s">
        <v>30</v>
      </c>
      <c r="J149" s="10"/>
      <c r="K149" s="9"/>
      <c r="L149" s="11"/>
    </row>
    <row r="150" customFormat="false" ht="23.85" hidden="false" customHeight="false" outlineLevel="0" collapsed="false">
      <c r="A150" s="7" t="s">
        <v>600</v>
      </c>
      <c r="B150" s="8" t="s">
        <v>601</v>
      </c>
      <c r="C150" s="7" t="s">
        <v>590</v>
      </c>
      <c r="D150" s="7" t="s">
        <v>33</v>
      </c>
      <c r="E150" s="8" t="s">
        <v>602</v>
      </c>
      <c r="F150" s="8" t="s">
        <v>603</v>
      </c>
      <c r="G150" s="7" t="s">
        <v>29</v>
      </c>
      <c r="H150" s="8"/>
      <c r="I150" s="9" t="s">
        <v>30</v>
      </c>
      <c r="J150" s="10"/>
      <c r="K150" s="9"/>
      <c r="L150" s="11"/>
    </row>
    <row r="151" customFormat="false" ht="35.05" hidden="false" customHeight="false" outlineLevel="0" collapsed="false">
      <c r="A151" s="7" t="s">
        <v>604</v>
      </c>
      <c r="B151" s="8" t="s">
        <v>605</v>
      </c>
      <c r="C151" s="7" t="s">
        <v>590</v>
      </c>
      <c r="D151" s="7" t="s">
        <v>33</v>
      </c>
      <c r="E151" s="8" t="s">
        <v>606</v>
      </c>
      <c r="F151" s="8" t="s">
        <v>607</v>
      </c>
      <c r="G151" s="7" t="s">
        <v>29</v>
      </c>
      <c r="H151" s="8"/>
      <c r="I151" s="9" t="s">
        <v>30</v>
      </c>
      <c r="J151" s="10"/>
      <c r="K151" s="9"/>
      <c r="L151" s="11"/>
    </row>
    <row r="152" customFormat="false" ht="23.85" hidden="false" customHeight="false" outlineLevel="0" collapsed="false">
      <c r="A152" s="7" t="s">
        <v>608</v>
      </c>
      <c r="B152" s="8" t="s">
        <v>609</v>
      </c>
      <c r="C152" s="7" t="s">
        <v>590</v>
      </c>
      <c r="D152" s="7" t="s">
        <v>50</v>
      </c>
      <c r="E152" s="8" t="s">
        <v>610</v>
      </c>
      <c r="F152" s="8"/>
      <c r="G152" s="7" t="s">
        <v>29</v>
      </c>
      <c r="H152" s="8"/>
      <c r="I152" s="9" t="s">
        <v>30</v>
      </c>
      <c r="J152" s="10"/>
      <c r="K152" s="9"/>
      <c r="L152" s="11"/>
    </row>
    <row r="153" customFormat="false" ht="35.05" hidden="false" customHeight="false" outlineLevel="0" collapsed="false">
      <c r="A153" s="7" t="s">
        <v>611</v>
      </c>
      <c r="B153" s="8" t="s">
        <v>612</v>
      </c>
      <c r="C153" s="7" t="s">
        <v>590</v>
      </c>
      <c r="D153" s="7" t="s">
        <v>80</v>
      </c>
      <c r="E153" s="8" t="s">
        <v>613</v>
      </c>
      <c r="F153" s="8" t="s">
        <v>614</v>
      </c>
      <c r="G153" s="7" t="s">
        <v>83</v>
      </c>
      <c r="H153" s="8"/>
      <c r="I153" s="9" t="s">
        <v>30</v>
      </c>
      <c r="J153" s="10"/>
      <c r="K153" s="9"/>
      <c r="L153" s="11"/>
    </row>
    <row r="154" customFormat="false" ht="57.45" hidden="false" customHeight="false" outlineLevel="0" collapsed="false">
      <c r="A154" s="7" t="s">
        <v>615</v>
      </c>
      <c r="B154" s="8" t="s">
        <v>616</v>
      </c>
      <c r="C154" s="7" t="s">
        <v>590</v>
      </c>
      <c r="D154" s="7" t="s">
        <v>80</v>
      </c>
      <c r="E154" s="8" t="s">
        <v>617</v>
      </c>
      <c r="F154" s="8" t="s">
        <v>618</v>
      </c>
      <c r="G154" s="7" t="s">
        <v>83</v>
      </c>
      <c r="H154" s="8"/>
      <c r="I154" s="9" t="s">
        <v>30</v>
      </c>
      <c r="J154" s="10"/>
      <c r="K154" s="9"/>
      <c r="L154" s="11"/>
    </row>
    <row r="155" customFormat="false" ht="35.05" hidden="false" customHeight="false" outlineLevel="0" collapsed="false">
      <c r="A155" s="7" t="s">
        <v>619</v>
      </c>
      <c r="B155" s="8" t="s">
        <v>620</v>
      </c>
      <c r="C155" s="7" t="s">
        <v>590</v>
      </c>
      <c r="D155" s="7" t="s">
        <v>80</v>
      </c>
      <c r="E155" s="8" t="s">
        <v>621</v>
      </c>
      <c r="F155" s="8" t="s">
        <v>622</v>
      </c>
      <c r="G155" s="7" t="s">
        <v>83</v>
      </c>
      <c r="H155" s="8"/>
      <c r="I155" s="9" t="s">
        <v>30</v>
      </c>
      <c r="J155" s="10"/>
      <c r="K155" s="9"/>
      <c r="L155" s="11"/>
    </row>
    <row r="156" customFormat="false" ht="23.85" hidden="false" customHeight="false" outlineLevel="0" collapsed="false">
      <c r="A156" s="7" t="s">
        <v>623</v>
      </c>
      <c r="B156" s="8" t="s">
        <v>624</v>
      </c>
      <c r="C156" s="7" t="s">
        <v>625</v>
      </c>
      <c r="D156" s="7" t="s">
        <v>27</v>
      </c>
      <c r="E156" s="8" t="s">
        <v>626</v>
      </c>
      <c r="F156" s="8"/>
      <c r="G156" s="7" t="s">
        <v>29</v>
      </c>
      <c r="H156" s="8"/>
      <c r="I156" s="9" t="s">
        <v>30</v>
      </c>
      <c r="J156" s="10"/>
      <c r="K156" s="9"/>
      <c r="L156" s="11"/>
    </row>
    <row r="157" customFormat="false" ht="23.85" hidden="false" customHeight="false" outlineLevel="0" collapsed="false">
      <c r="A157" s="7" t="s">
        <v>627</v>
      </c>
      <c r="B157" s="8" t="s">
        <v>628</v>
      </c>
      <c r="C157" s="7" t="s">
        <v>625</v>
      </c>
      <c r="D157" s="7" t="s">
        <v>33</v>
      </c>
      <c r="E157" s="8" t="s">
        <v>629</v>
      </c>
      <c r="F157" s="8" t="s">
        <v>630</v>
      </c>
      <c r="G157" s="7" t="s">
        <v>29</v>
      </c>
      <c r="H157" s="8"/>
      <c r="I157" s="9" t="s">
        <v>30</v>
      </c>
      <c r="J157" s="10"/>
      <c r="K157" s="9"/>
      <c r="L157" s="11"/>
    </row>
    <row r="158" customFormat="false" ht="23.85" hidden="false" customHeight="false" outlineLevel="0" collapsed="false">
      <c r="A158" s="7" t="s">
        <v>631</v>
      </c>
      <c r="B158" s="8" t="s">
        <v>632</v>
      </c>
      <c r="C158" s="7" t="s">
        <v>625</v>
      </c>
      <c r="D158" s="7" t="s">
        <v>33</v>
      </c>
      <c r="E158" s="8" t="s">
        <v>633</v>
      </c>
      <c r="F158" s="8" t="s">
        <v>634</v>
      </c>
      <c r="G158" s="7" t="s">
        <v>29</v>
      </c>
      <c r="H158" s="8"/>
      <c r="I158" s="9" t="s">
        <v>30</v>
      </c>
      <c r="J158" s="10"/>
      <c r="K158" s="9"/>
      <c r="L158" s="11"/>
    </row>
    <row r="159" customFormat="false" ht="23.85" hidden="false" customHeight="false" outlineLevel="0" collapsed="false">
      <c r="A159" s="7" t="s">
        <v>635</v>
      </c>
      <c r="B159" s="8" t="s">
        <v>636</v>
      </c>
      <c r="C159" s="7" t="s">
        <v>625</v>
      </c>
      <c r="D159" s="7" t="s">
        <v>33</v>
      </c>
      <c r="E159" s="8" t="s">
        <v>637</v>
      </c>
      <c r="F159" s="8" t="s">
        <v>638</v>
      </c>
      <c r="G159" s="7" t="s">
        <v>29</v>
      </c>
      <c r="H159" s="8"/>
      <c r="I159" s="9" t="s">
        <v>30</v>
      </c>
      <c r="J159" s="10"/>
      <c r="K159" s="9"/>
      <c r="L159" s="11"/>
    </row>
    <row r="160" customFormat="false" ht="23.85" hidden="false" customHeight="false" outlineLevel="0" collapsed="false">
      <c r="A160" s="7" t="s">
        <v>639</v>
      </c>
      <c r="B160" s="8" t="s">
        <v>640</v>
      </c>
      <c r="C160" s="7" t="s">
        <v>625</v>
      </c>
      <c r="D160" s="7" t="s">
        <v>33</v>
      </c>
      <c r="E160" s="8" t="s">
        <v>641</v>
      </c>
      <c r="F160" s="8" t="s">
        <v>642</v>
      </c>
      <c r="G160" s="7" t="s">
        <v>29</v>
      </c>
      <c r="H160" s="8"/>
      <c r="I160" s="9" t="s">
        <v>30</v>
      </c>
      <c r="J160" s="10"/>
      <c r="K160" s="9"/>
      <c r="L160" s="11"/>
    </row>
    <row r="161" customFormat="false" ht="23.85" hidden="false" customHeight="false" outlineLevel="0" collapsed="false">
      <c r="A161" s="7" t="s">
        <v>643</v>
      </c>
      <c r="B161" s="8" t="s">
        <v>644</v>
      </c>
      <c r="C161" s="7" t="s">
        <v>625</v>
      </c>
      <c r="D161" s="7" t="s">
        <v>50</v>
      </c>
      <c r="E161" s="8" t="s">
        <v>645</v>
      </c>
      <c r="F161" s="8"/>
      <c r="G161" s="7" t="s">
        <v>29</v>
      </c>
      <c r="H161" s="8"/>
      <c r="I161" s="9" t="s">
        <v>30</v>
      </c>
      <c r="J161" s="10"/>
      <c r="K161" s="9"/>
      <c r="L161" s="11"/>
    </row>
    <row r="162" customFormat="false" ht="35.05" hidden="false" customHeight="false" outlineLevel="0" collapsed="false">
      <c r="A162" s="7" t="s">
        <v>646</v>
      </c>
      <c r="B162" s="8" t="s">
        <v>647</v>
      </c>
      <c r="C162" s="7" t="s">
        <v>625</v>
      </c>
      <c r="D162" s="7" t="s">
        <v>80</v>
      </c>
      <c r="E162" s="8" t="s">
        <v>648</v>
      </c>
      <c r="F162" s="8" t="s">
        <v>649</v>
      </c>
      <c r="G162" s="7" t="s">
        <v>83</v>
      </c>
      <c r="H162" s="8"/>
      <c r="I162" s="9" t="s">
        <v>30</v>
      </c>
      <c r="J162" s="10"/>
      <c r="K162" s="9"/>
      <c r="L162" s="11"/>
    </row>
    <row r="163" customFormat="false" ht="46.25" hidden="false" customHeight="false" outlineLevel="0" collapsed="false">
      <c r="A163" s="7" t="s">
        <v>650</v>
      </c>
      <c r="B163" s="8" t="s">
        <v>651</v>
      </c>
      <c r="C163" s="7" t="s">
        <v>625</v>
      </c>
      <c r="D163" s="7" t="s">
        <v>80</v>
      </c>
      <c r="E163" s="8" t="s">
        <v>652</v>
      </c>
      <c r="F163" s="8" t="s">
        <v>653</v>
      </c>
      <c r="G163" s="7" t="s">
        <v>83</v>
      </c>
      <c r="H163" s="8"/>
      <c r="I163" s="9" t="s">
        <v>30</v>
      </c>
      <c r="J163" s="10"/>
      <c r="K163" s="9"/>
      <c r="L163" s="11"/>
    </row>
    <row r="164" customFormat="false" ht="46.25" hidden="false" customHeight="false" outlineLevel="0" collapsed="false">
      <c r="A164" s="7" t="s">
        <v>654</v>
      </c>
      <c r="B164" s="8" t="s">
        <v>655</v>
      </c>
      <c r="C164" s="7" t="s">
        <v>625</v>
      </c>
      <c r="D164" s="7" t="s">
        <v>80</v>
      </c>
      <c r="E164" s="8" t="s">
        <v>656</v>
      </c>
      <c r="F164" s="8" t="s">
        <v>657</v>
      </c>
      <c r="G164" s="7" t="s">
        <v>83</v>
      </c>
      <c r="H164" s="8"/>
      <c r="I164" s="9" t="s">
        <v>30</v>
      </c>
      <c r="J164" s="10"/>
      <c r="K164" s="9"/>
      <c r="L164" s="11"/>
    </row>
    <row r="165" customFormat="false" ht="23.85" hidden="false" customHeight="false" outlineLevel="0" collapsed="false">
      <c r="A165" s="7" t="s">
        <v>658</v>
      </c>
      <c r="B165" s="8" t="s">
        <v>659</v>
      </c>
      <c r="C165" s="7" t="s">
        <v>660</v>
      </c>
      <c r="D165" s="7" t="s">
        <v>27</v>
      </c>
      <c r="E165" s="8" t="s">
        <v>661</v>
      </c>
      <c r="F165" s="8"/>
      <c r="G165" s="7" t="s">
        <v>29</v>
      </c>
      <c r="H165" s="8"/>
      <c r="I165" s="9" t="s">
        <v>30</v>
      </c>
      <c r="J165" s="10"/>
      <c r="K165" s="9"/>
      <c r="L165" s="11"/>
    </row>
    <row r="166" customFormat="false" ht="23.85" hidden="false" customHeight="false" outlineLevel="0" collapsed="false">
      <c r="A166" s="7" t="s">
        <v>662</v>
      </c>
      <c r="B166" s="8" t="s">
        <v>663</v>
      </c>
      <c r="C166" s="7" t="s">
        <v>660</v>
      </c>
      <c r="D166" s="7" t="s">
        <v>33</v>
      </c>
      <c r="E166" s="8" t="s">
        <v>664</v>
      </c>
      <c r="F166" s="8"/>
      <c r="G166" s="7" t="s">
        <v>29</v>
      </c>
      <c r="H166" s="8"/>
      <c r="I166" s="9" t="s">
        <v>30</v>
      </c>
      <c r="J166" s="10"/>
      <c r="K166" s="9"/>
      <c r="L166" s="11"/>
    </row>
    <row r="167" customFormat="false" ht="15" hidden="false" customHeight="false" outlineLevel="0" collapsed="false">
      <c r="A167" s="7" t="s">
        <v>665</v>
      </c>
      <c r="B167" s="8" t="s">
        <v>666</v>
      </c>
      <c r="C167" s="7" t="s">
        <v>660</v>
      </c>
      <c r="D167" s="7" t="s">
        <v>33</v>
      </c>
      <c r="E167" s="8" t="s">
        <v>667</v>
      </c>
      <c r="F167" s="8" t="s">
        <v>668</v>
      </c>
      <c r="G167" s="7" t="s">
        <v>29</v>
      </c>
      <c r="H167" s="8"/>
      <c r="I167" s="9" t="s">
        <v>30</v>
      </c>
      <c r="J167" s="10"/>
      <c r="K167" s="9"/>
      <c r="L167" s="11"/>
    </row>
    <row r="168" customFormat="false" ht="23.85" hidden="false" customHeight="false" outlineLevel="0" collapsed="false">
      <c r="A168" s="7" t="s">
        <v>669</v>
      </c>
      <c r="B168" s="8" t="s">
        <v>670</v>
      </c>
      <c r="C168" s="7" t="s">
        <v>660</v>
      </c>
      <c r="D168" s="7" t="s">
        <v>33</v>
      </c>
      <c r="E168" s="8" t="s">
        <v>671</v>
      </c>
      <c r="F168" s="8" t="s">
        <v>672</v>
      </c>
      <c r="G168" s="7" t="s">
        <v>29</v>
      </c>
      <c r="H168" s="8"/>
      <c r="I168" s="9" t="s">
        <v>30</v>
      </c>
      <c r="J168" s="10"/>
      <c r="K168" s="9"/>
      <c r="L168" s="11"/>
    </row>
    <row r="169" customFormat="false" ht="23.85" hidden="false" customHeight="false" outlineLevel="0" collapsed="false">
      <c r="A169" s="7" t="s">
        <v>673</v>
      </c>
      <c r="B169" s="8" t="s">
        <v>674</v>
      </c>
      <c r="C169" s="7" t="s">
        <v>660</v>
      </c>
      <c r="D169" s="7" t="s">
        <v>33</v>
      </c>
      <c r="E169" s="8" t="s">
        <v>675</v>
      </c>
      <c r="F169" s="8" t="s">
        <v>676</v>
      </c>
      <c r="G169" s="7" t="s">
        <v>29</v>
      </c>
      <c r="H169" s="8"/>
      <c r="I169" s="9" t="s">
        <v>30</v>
      </c>
      <c r="J169" s="10"/>
      <c r="K169" s="9"/>
      <c r="L169" s="11"/>
    </row>
    <row r="170" customFormat="false" ht="23.85" hidden="false" customHeight="false" outlineLevel="0" collapsed="false">
      <c r="A170" s="7" t="s">
        <v>677</v>
      </c>
      <c r="B170" s="8" t="s">
        <v>678</v>
      </c>
      <c r="C170" s="7" t="s">
        <v>660</v>
      </c>
      <c r="D170" s="7" t="s">
        <v>33</v>
      </c>
      <c r="E170" s="8" t="s">
        <v>679</v>
      </c>
      <c r="F170" s="8"/>
      <c r="G170" s="7" t="s">
        <v>29</v>
      </c>
      <c r="H170" s="8"/>
      <c r="I170" s="9" t="s">
        <v>30</v>
      </c>
      <c r="J170" s="10"/>
      <c r="K170" s="9"/>
      <c r="L170" s="11"/>
    </row>
    <row r="171" customFormat="false" ht="23.85" hidden="false" customHeight="false" outlineLevel="0" collapsed="false">
      <c r="A171" s="7" t="s">
        <v>680</v>
      </c>
      <c r="B171" s="8" t="s">
        <v>681</v>
      </c>
      <c r="C171" s="7" t="s">
        <v>660</v>
      </c>
      <c r="D171" s="7" t="s">
        <v>50</v>
      </c>
      <c r="E171" s="8" t="s">
        <v>682</v>
      </c>
      <c r="F171" s="8"/>
      <c r="G171" s="7" t="s">
        <v>29</v>
      </c>
      <c r="H171" s="8"/>
      <c r="I171" s="9" t="s">
        <v>30</v>
      </c>
      <c r="J171" s="10"/>
      <c r="K171" s="9"/>
      <c r="L171" s="11"/>
    </row>
    <row r="172" customFormat="false" ht="23.85" hidden="false" customHeight="false" outlineLevel="0" collapsed="false">
      <c r="A172" s="7" t="s">
        <v>683</v>
      </c>
      <c r="B172" s="8" t="s">
        <v>684</v>
      </c>
      <c r="C172" s="7" t="s">
        <v>660</v>
      </c>
      <c r="D172" s="7" t="s">
        <v>80</v>
      </c>
      <c r="E172" s="8" t="s">
        <v>685</v>
      </c>
      <c r="F172" s="8" t="s">
        <v>686</v>
      </c>
      <c r="G172" s="7" t="s">
        <v>83</v>
      </c>
      <c r="H172" s="8"/>
      <c r="I172" s="9" t="s">
        <v>30</v>
      </c>
      <c r="J172" s="10"/>
      <c r="K172" s="9"/>
      <c r="L172" s="11"/>
    </row>
    <row r="173" customFormat="false" ht="35.05" hidden="false" customHeight="false" outlineLevel="0" collapsed="false">
      <c r="A173" s="7" t="s">
        <v>687</v>
      </c>
      <c r="B173" s="8" t="s">
        <v>688</v>
      </c>
      <c r="C173" s="7" t="s">
        <v>660</v>
      </c>
      <c r="D173" s="7" t="s">
        <v>80</v>
      </c>
      <c r="E173" s="8" t="s">
        <v>689</v>
      </c>
      <c r="F173" s="8" t="s">
        <v>690</v>
      </c>
      <c r="G173" s="7" t="s">
        <v>83</v>
      </c>
      <c r="H173" s="8"/>
      <c r="I173" s="9" t="s">
        <v>30</v>
      </c>
      <c r="J173" s="10"/>
      <c r="K173" s="9"/>
      <c r="L173" s="11"/>
    </row>
    <row r="174" customFormat="false" ht="46.25" hidden="false" customHeight="false" outlineLevel="0" collapsed="false">
      <c r="A174" s="7" t="s">
        <v>691</v>
      </c>
      <c r="B174" s="8" t="s">
        <v>692</v>
      </c>
      <c r="C174" s="7" t="s">
        <v>660</v>
      </c>
      <c r="D174" s="7" t="s">
        <v>80</v>
      </c>
      <c r="E174" s="8" t="s">
        <v>693</v>
      </c>
      <c r="F174" s="8" t="s">
        <v>694</v>
      </c>
      <c r="G174" s="7" t="s">
        <v>83</v>
      </c>
      <c r="H174" s="8"/>
      <c r="I174" s="9" t="s">
        <v>30</v>
      </c>
      <c r="J174" s="10"/>
      <c r="K174" s="9"/>
      <c r="L174" s="11"/>
    </row>
    <row r="175" customFormat="false" ht="23.85" hidden="false" customHeight="false" outlineLevel="0" collapsed="false">
      <c r="A175" s="7" t="s">
        <v>695</v>
      </c>
      <c r="B175" s="8" t="s">
        <v>696</v>
      </c>
      <c r="C175" s="7" t="s">
        <v>697</v>
      </c>
      <c r="D175" s="7" t="s">
        <v>27</v>
      </c>
      <c r="E175" s="8" t="s">
        <v>698</v>
      </c>
      <c r="F175" s="8"/>
      <c r="G175" s="7" t="s">
        <v>29</v>
      </c>
      <c r="H175" s="8"/>
      <c r="I175" s="9" t="s">
        <v>30</v>
      </c>
      <c r="J175" s="10"/>
      <c r="K175" s="9"/>
      <c r="L175" s="11"/>
    </row>
    <row r="176" customFormat="false" ht="23.85" hidden="false" customHeight="false" outlineLevel="0" collapsed="false">
      <c r="A176" s="7" t="s">
        <v>699</v>
      </c>
      <c r="B176" s="8" t="s">
        <v>700</v>
      </c>
      <c r="C176" s="7" t="s">
        <v>697</v>
      </c>
      <c r="D176" s="7" t="s">
        <v>33</v>
      </c>
      <c r="E176" s="8" t="s">
        <v>701</v>
      </c>
      <c r="F176" s="8" t="s">
        <v>702</v>
      </c>
      <c r="G176" s="7" t="s">
        <v>29</v>
      </c>
      <c r="H176" s="8"/>
      <c r="I176" s="9" t="s">
        <v>30</v>
      </c>
      <c r="J176" s="10"/>
      <c r="K176" s="9"/>
      <c r="L176" s="11"/>
    </row>
    <row r="177" customFormat="false" ht="23.85" hidden="false" customHeight="false" outlineLevel="0" collapsed="false">
      <c r="A177" s="7" t="s">
        <v>703</v>
      </c>
      <c r="B177" s="8" t="s">
        <v>704</v>
      </c>
      <c r="C177" s="7" t="s">
        <v>697</v>
      </c>
      <c r="D177" s="7" t="s">
        <v>33</v>
      </c>
      <c r="E177" s="8" t="s">
        <v>705</v>
      </c>
      <c r="F177" s="8" t="s">
        <v>706</v>
      </c>
      <c r="G177" s="7" t="s">
        <v>29</v>
      </c>
      <c r="H177" s="8"/>
      <c r="I177" s="9" t="s">
        <v>30</v>
      </c>
      <c r="J177" s="10"/>
      <c r="K177" s="9"/>
      <c r="L177" s="11"/>
    </row>
    <row r="178" customFormat="false" ht="15" hidden="false" customHeight="false" outlineLevel="0" collapsed="false">
      <c r="A178" s="7" t="s">
        <v>707</v>
      </c>
      <c r="B178" s="8" t="s">
        <v>708</v>
      </c>
      <c r="C178" s="7" t="s">
        <v>697</v>
      </c>
      <c r="D178" s="7" t="s">
        <v>33</v>
      </c>
      <c r="E178" s="8" t="s">
        <v>709</v>
      </c>
      <c r="F178" s="8" t="s">
        <v>710</v>
      </c>
      <c r="G178" s="7" t="s">
        <v>29</v>
      </c>
      <c r="H178" s="8"/>
      <c r="I178" s="9" t="s">
        <v>30</v>
      </c>
      <c r="J178" s="10"/>
      <c r="K178" s="9"/>
      <c r="L178" s="11"/>
    </row>
    <row r="179" customFormat="false" ht="23.85" hidden="false" customHeight="false" outlineLevel="0" collapsed="false">
      <c r="A179" s="7" t="s">
        <v>711</v>
      </c>
      <c r="B179" s="8" t="s">
        <v>712</v>
      </c>
      <c r="C179" s="7" t="s">
        <v>697</v>
      </c>
      <c r="D179" s="7" t="s">
        <v>33</v>
      </c>
      <c r="E179" s="8" t="s">
        <v>713</v>
      </c>
      <c r="F179" s="8" t="s">
        <v>714</v>
      </c>
      <c r="G179" s="7" t="s">
        <v>29</v>
      </c>
      <c r="H179" s="8"/>
      <c r="I179" s="9" t="s">
        <v>30</v>
      </c>
      <c r="J179" s="10"/>
      <c r="K179" s="9"/>
      <c r="L179" s="11"/>
    </row>
    <row r="180" customFormat="false" ht="15" hidden="false" customHeight="false" outlineLevel="0" collapsed="false">
      <c r="A180" s="7" t="s">
        <v>715</v>
      </c>
      <c r="B180" s="8" t="s">
        <v>716</v>
      </c>
      <c r="C180" s="7" t="s">
        <v>697</v>
      </c>
      <c r="D180" s="7" t="s">
        <v>33</v>
      </c>
      <c r="E180" s="8" t="s">
        <v>717</v>
      </c>
      <c r="F180" s="8" t="s">
        <v>718</v>
      </c>
      <c r="G180" s="7" t="s">
        <v>29</v>
      </c>
      <c r="H180" s="8"/>
      <c r="I180" s="9" t="s">
        <v>30</v>
      </c>
      <c r="J180" s="10"/>
      <c r="K180" s="9"/>
      <c r="L180" s="11"/>
    </row>
    <row r="181" customFormat="false" ht="23.85" hidden="false" customHeight="false" outlineLevel="0" collapsed="false">
      <c r="A181" s="7" t="s">
        <v>719</v>
      </c>
      <c r="B181" s="8" t="s">
        <v>720</v>
      </c>
      <c r="C181" s="7" t="s">
        <v>697</v>
      </c>
      <c r="D181" s="7" t="s">
        <v>50</v>
      </c>
      <c r="E181" s="8" t="s">
        <v>721</v>
      </c>
      <c r="F181" s="8"/>
      <c r="G181" s="7" t="s">
        <v>29</v>
      </c>
      <c r="H181" s="8"/>
      <c r="I181" s="9" t="s">
        <v>30</v>
      </c>
      <c r="J181" s="10"/>
      <c r="K181" s="9"/>
      <c r="L181" s="11"/>
    </row>
    <row r="182" customFormat="false" ht="46.25" hidden="false" customHeight="false" outlineLevel="0" collapsed="false">
      <c r="A182" s="7" t="s">
        <v>722</v>
      </c>
      <c r="B182" s="8" t="s">
        <v>723</v>
      </c>
      <c r="C182" s="7" t="s">
        <v>697</v>
      </c>
      <c r="D182" s="7" t="s">
        <v>80</v>
      </c>
      <c r="E182" s="8" t="s">
        <v>724</v>
      </c>
      <c r="F182" s="8" t="s">
        <v>725</v>
      </c>
      <c r="G182" s="7" t="s">
        <v>83</v>
      </c>
      <c r="H182" s="8"/>
      <c r="I182" s="9" t="s">
        <v>30</v>
      </c>
      <c r="J182" s="10"/>
      <c r="K182" s="9"/>
      <c r="L182" s="11"/>
    </row>
    <row r="183" customFormat="false" ht="35.05" hidden="false" customHeight="false" outlineLevel="0" collapsed="false">
      <c r="A183" s="7" t="s">
        <v>726</v>
      </c>
      <c r="B183" s="8" t="s">
        <v>727</v>
      </c>
      <c r="C183" s="7" t="s">
        <v>697</v>
      </c>
      <c r="D183" s="7" t="s">
        <v>80</v>
      </c>
      <c r="E183" s="8" t="s">
        <v>728</v>
      </c>
      <c r="F183" s="8" t="s">
        <v>729</v>
      </c>
      <c r="G183" s="7" t="s">
        <v>83</v>
      </c>
      <c r="H183" s="8"/>
      <c r="I183" s="9" t="s">
        <v>30</v>
      </c>
      <c r="J183" s="10"/>
      <c r="K183" s="9"/>
      <c r="L183" s="11"/>
    </row>
    <row r="184" customFormat="false" ht="35.05" hidden="false" customHeight="false" outlineLevel="0" collapsed="false">
      <c r="A184" s="7" t="s">
        <v>730</v>
      </c>
      <c r="B184" s="8" t="s">
        <v>731</v>
      </c>
      <c r="C184" s="7" t="s">
        <v>697</v>
      </c>
      <c r="D184" s="7" t="s">
        <v>80</v>
      </c>
      <c r="E184" s="8" t="s">
        <v>732</v>
      </c>
      <c r="F184" s="8" t="s">
        <v>733</v>
      </c>
      <c r="G184" s="7" t="s">
        <v>83</v>
      </c>
      <c r="H184" s="8"/>
      <c r="I184" s="9" t="s">
        <v>30</v>
      </c>
      <c r="J184" s="10"/>
      <c r="K184" s="9"/>
      <c r="L184" s="11"/>
    </row>
    <row r="185" customFormat="false" ht="23.85" hidden="false" customHeight="false" outlineLevel="0" collapsed="false">
      <c r="A185" s="7" t="s">
        <v>734</v>
      </c>
      <c r="B185" s="8" t="s">
        <v>735</v>
      </c>
      <c r="C185" s="7" t="s">
        <v>736</v>
      </c>
      <c r="D185" s="7" t="s">
        <v>27</v>
      </c>
      <c r="E185" s="8" t="s">
        <v>737</v>
      </c>
      <c r="F185" s="8"/>
      <c r="G185" s="7" t="s">
        <v>29</v>
      </c>
      <c r="H185" s="8"/>
      <c r="I185" s="9" t="s">
        <v>30</v>
      </c>
      <c r="J185" s="10"/>
      <c r="K185" s="9"/>
      <c r="L185" s="11"/>
    </row>
    <row r="186" customFormat="false" ht="23.85" hidden="false" customHeight="false" outlineLevel="0" collapsed="false">
      <c r="A186" s="7" t="s">
        <v>738</v>
      </c>
      <c r="B186" s="8" t="s">
        <v>739</v>
      </c>
      <c r="C186" s="7" t="s">
        <v>736</v>
      </c>
      <c r="D186" s="7" t="s">
        <v>33</v>
      </c>
      <c r="E186" s="8" t="s">
        <v>740</v>
      </c>
      <c r="F186" s="8" t="s">
        <v>741</v>
      </c>
      <c r="G186" s="7" t="s">
        <v>29</v>
      </c>
      <c r="H186" s="8"/>
      <c r="I186" s="9" t="s">
        <v>30</v>
      </c>
      <c r="J186" s="10"/>
      <c r="K186" s="9"/>
      <c r="L186" s="11"/>
    </row>
    <row r="187" customFormat="false" ht="15" hidden="false" customHeight="false" outlineLevel="0" collapsed="false">
      <c r="A187" s="7" t="s">
        <v>742</v>
      </c>
      <c r="B187" s="8" t="s">
        <v>743</v>
      </c>
      <c r="C187" s="7" t="s">
        <v>736</v>
      </c>
      <c r="D187" s="7" t="s">
        <v>33</v>
      </c>
      <c r="E187" s="8" t="s">
        <v>744</v>
      </c>
      <c r="F187" s="8" t="s">
        <v>745</v>
      </c>
      <c r="G187" s="7" t="s">
        <v>29</v>
      </c>
      <c r="H187" s="8"/>
      <c r="I187" s="9" t="s">
        <v>30</v>
      </c>
      <c r="J187" s="10"/>
      <c r="K187" s="9"/>
      <c r="L187" s="11"/>
    </row>
    <row r="188" customFormat="false" ht="23.85" hidden="false" customHeight="false" outlineLevel="0" collapsed="false">
      <c r="A188" s="7" t="s">
        <v>746</v>
      </c>
      <c r="B188" s="8" t="s">
        <v>747</v>
      </c>
      <c r="C188" s="7" t="s">
        <v>736</v>
      </c>
      <c r="D188" s="7" t="s">
        <v>33</v>
      </c>
      <c r="E188" s="8" t="s">
        <v>748</v>
      </c>
      <c r="F188" s="8" t="s">
        <v>749</v>
      </c>
      <c r="G188" s="7" t="s">
        <v>29</v>
      </c>
      <c r="H188" s="8"/>
      <c r="I188" s="9" t="s">
        <v>30</v>
      </c>
      <c r="J188" s="10"/>
      <c r="K188" s="9"/>
      <c r="L188" s="11"/>
    </row>
    <row r="189" customFormat="false" ht="35.05" hidden="false" customHeight="false" outlineLevel="0" collapsed="false">
      <c r="A189" s="7" t="s">
        <v>750</v>
      </c>
      <c r="B189" s="8" t="s">
        <v>751</v>
      </c>
      <c r="C189" s="7" t="s">
        <v>736</v>
      </c>
      <c r="D189" s="7" t="s">
        <v>33</v>
      </c>
      <c r="E189" s="8" t="s">
        <v>752</v>
      </c>
      <c r="F189" s="8" t="s">
        <v>753</v>
      </c>
      <c r="G189" s="7" t="s">
        <v>29</v>
      </c>
      <c r="H189" s="8"/>
      <c r="I189" s="9" t="s">
        <v>30</v>
      </c>
      <c r="J189" s="10"/>
      <c r="K189" s="9"/>
      <c r="L189" s="11"/>
    </row>
    <row r="190" customFormat="false" ht="23.85" hidden="false" customHeight="false" outlineLevel="0" collapsed="false">
      <c r="A190" s="7" t="s">
        <v>754</v>
      </c>
      <c r="B190" s="8" t="s">
        <v>755</v>
      </c>
      <c r="C190" s="7" t="s">
        <v>736</v>
      </c>
      <c r="D190" s="7" t="s">
        <v>33</v>
      </c>
      <c r="E190" s="8" t="s">
        <v>756</v>
      </c>
      <c r="F190" s="8" t="s">
        <v>757</v>
      </c>
      <c r="G190" s="7" t="s">
        <v>29</v>
      </c>
      <c r="H190" s="8"/>
      <c r="I190" s="9" t="s">
        <v>30</v>
      </c>
      <c r="J190" s="10"/>
      <c r="K190" s="9"/>
      <c r="L190" s="11"/>
    </row>
    <row r="191" customFormat="false" ht="23.85" hidden="false" customHeight="false" outlineLevel="0" collapsed="false">
      <c r="A191" s="7" t="s">
        <v>758</v>
      </c>
      <c r="B191" s="8" t="s">
        <v>759</v>
      </c>
      <c r="C191" s="7" t="s">
        <v>736</v>
      </c>
      <c r="D191" s="7" t="s">
        <v>50</v>
      </c>
      <c r="E191" s="8" t="s">
        <v>760</v>
      </c>
      <c r="F191" s="8"/>
      <c r="G191" s="7" t="s">
        <v>29</v>
      </c>
      <c r="H191" s="8"/>
      <c r="I191" s="9" t="s">
        <v>30</v>
      </c>
      <c r="J191" s="10"/>
      <c r="K191" s="9"/>
      <c r="L191" s="11"/>
    </row>
    <row r="192" customFormat="false" ht="57.45" hidden="false" customHeight="false" outlineLevel="0" collapsed="false">
      <c r="A192" s="7" t="s">
        <v>761</v>
      </c>
      <c r="B192" s="8" t="s">
        <v>762</v>
      </c>
      <c r="C192" s="7" t="s">
        <v>736</v>
      </c>
      <c r="D192" s="7" t="s">
        <v>80</v>
      </c>
      <c r="E192" s="8" t="s">
        <v>763</v>
      </c>
      <c r="F192" s="8" t="s">
        <v>764</v>
      </c>
      <c r="G192" s="7" t="s">
        <v>83</v>
      </c>
      <c r="H192" s="8"/>
      <c r="I192" s="9" t="s">
        <v>30</v>
      </c>
      <c r="J192" s="10"/>
      <c r="K192" s="9"/>
      <c r="L192" s="11"/>
    </row>
    <row r="193" customFormat="false" ht="46.25" hidden="false" customHeight="false" outlineLevel="0" collapsed="false">
      <c r="A193" s="7" t="s">
        <v>765</v>
      </c>
      <c r="B193" s="8" t="s">
        <v>766</v>
      </c>
      <c r="C193" s="7" t="s">
        <v>736</v>
      </c>
      <c r="D193" s="7" t="s">
        <v>80</v>
      </c>
      <c r="E193" s="8" t="s">
        <v>767</v>
      </c>
      <c r="F193" s="8" t="s">
        <v>768</v>
      </c>
      <c r="G193" s="7" t="s">
        <v>83</v>
      </c>
      <c r="H193" s="8"/>
      <c r="I193" s="9" t="s">
        <v>30</v>
      </c>
      <c r="J193" s="10"/>
      <c r="K193" s="9"/>
      <c r="L193" s="11"/>
    </row>
    <row r="194" customFormat="false" ht="46.25" hidden="false" customHeight="false" outlineLevel="0" collapsed="false">
      <c r="A194" s="7" t="s">
        <v>769</v>
      </c>
      <c r="B194" s="8" t="s">
        <v>770</v>
      </c>
      <c r="C194" s="7" t="s">
        <v>736</v>
      </c>
      <c r="D194" s="7" t="s">
        <v>80</v>
      </c>
      <c r="E194" s="8" t="s">
        <v>771</v>
      </c>
      <c r="F194" s="8" t="s">
        <v>772</v>
      </c>
      <c r="G194" s="7" t="s">
        <v>83</v>
      </c>
      <c r="H194" s="8"/>
      <c r="I194" s="9" t="s">
        <v>30</v>
      </c>
      <c r="J194" s="10"/>
      <c r="K194" s="9"/>
      <c r="L194" s="11"/>
    </row>
    <row r="195" customFormat="false" ht="23.85" hidden="false" customHeight="false" outlineLevel="0" collapsed="false">
      <c r="A195" s="7" t="s">
        <v>773</v>
      </c>
      <c r="B195" s="8" t="s">
        <v>774</v>
      </c>
      <c r="C195" s="7" t="s">
        <v>775</v>
      </c>
      <c r="D195" s="7" t="s">
        <v>27</v>
      </c>
      <c r="E195" s="8" t="s">
        <v>776</v>
      </c>
      <c r="F195" s="8"/>
      <c r="G195" s="7" t="s">
        <v>29</v>
      </c>
      <c r="H195" s="8"/>
      <c r="I195" s="9" t="s">
        <v>30</v>
      </c>
      <c r="J195" s="10"/>
      <c r="K195" s="9"/>
      <c r="L195" s="11"/>
    </row>
    <row r="196" customFormat="false" ht="23.85" hidden="false" customHeight="false" outlineLevel="0" collapsed="false">
      <c r="A196" s="7" t="s">
        <v>777</v>
      </c>
      <c r="B196" s="8" t="s">
        <v>778</v>
      </c>
      <c r="C196" s="7" t="s">
        <v>775</v>
      </c>
      <c r="D196" s="7" t="s">
        <v>33</v>
      </c>
      <c r="E196" s="8" t="s">
        <v>779</v>
      </c>
      <c r="F196" s="8"/>
      <c r="G196" s="7" t="s">
        <v>29</v>
      </c>
      <c r="H196" s="8"/>
      <c r="I196" s="9" t="s">
        <v>30</v>
      </c>
      <c r="J196" s="10"/>
      <c r="K196" s="9"/>
      <c r="L196" s="11"/>
    </row>
    <row r="197" customFormat="false" ht="23.85" hidden="false" customHeight="false" outlineLevel="0" collapsed="false">
      <c r="A197" s="7" t="s">
        <v>780</v>
      </c>
      <c r="B197" s="8" t="s">
        <v>781</v>
      </c>
      <c r="C197" s="7" t="s">
        <v>775</v>
      </c>
      <c r="D197" s="7" t="s">
        <v>33</v>
      </c>
      <c r="E197" s="8" t="s">
        <v>782</v>
      </c>
      <c r="F197" s="8"/>
      <c r="G197" s="7" t="s">
        <v>29</v>
      </c>
      <c r="H197" s="8"/>
      <c r="I197" s="9" t="s">
        <v>30</v>
      </c>
      <c r="J197" s="10"/>
      <c r="K197" s="9"/>
      <c r="L197" s="11"/>
    </row>
    <row r="198" customFormat="false" ht="23.85" hidden="false" customHeight="false" outlineLevel="0" collapsed="false">
      <c r="A198" s="7" t="s">
        <v>783</v>
      </c>
      <c r="B198" s="8" t="s">
        <v>784</v>
      </c>
      <c r="C198" s="7" t="s">
        <v>775</v>
      </c>
      <c r="D198" s="7" t="s">
        <v>33</v>
      </c>
      <c r="E198" s="8" t="s">
        <v>785</v>
      </c>
      <c r="F198" s="8" t="s">
        <v>786</v>
      </c>
      <c r="G198" s="7" t="s">
        <v>29</v>
      </c>
      <c r="H198" s="8"/>
      <c r="I198" s="9" t="s">
        <v>30</v>
      </c>
      <c r="J198" s="10"/>
      <c r="K198" s="9"/>
      <c r="L198" s="11"/>
    </row>
    <row r="199" customFormat="false" ht="23.85" hidden="false" customHeight="false" outlineLevel="0" collapsed="false">
      <c r="A199" s="7" t="s">
        <v>787</v>
      </c>
      <c r="B199" s="8" t="s">
        <v>788</v>
      </c>
      <c r="C199" s="7" t="s">
        <v>775</v>
      </c>
      <c r="D199" s="7" t="s">
        <v>33</v>
      </c>
      <c r="E199" s="8" t="s">
        <v>789</v>
      </c>
      <c r="F199" s="8" t="s">
        <v>790</v>
      </c>
      <c r="G199" s="7" t="s">
        <v>29</v>
      </c>
      <c r="H199" s="8"/>
      <c r="I199" s="9" t="s">
        <v>30</v>
      </c>
      <c r="J199" s="10"/>
      <c r="K199" s="9"/>
      <c r="L199" s="11"/>
    </row>
    <row r="200" customFormat="false" ht="23.85" hidden="false" customHeight="false" outlineLevel="0" collapsed="false">
      <c r="A200" s="7" t="s">
        <v>791</v>
      </c>
      <c r="B200" s="8" t="s">
        <v>792</v>
      </c>
      <c r="C200" s="7" t="s">
        <v>775</v>
      </c>
      <c r="D200" s="7" t="s">
        <v>50</v>
      </c>
      <c r="E200" s="8" t="s">
        <v>793</v>
      </c>
      <c r="F200" s="8"/>
      <c r="G200" s="7" t="s">
        <v>29</v>
      </c>
      <c r="H200" s="8"/>
      <c r="I200" s="9" t="s">
        <v>30</v>
      </c>
      <c r="J200" s="10"/>
      <c r="K200" s="9"/>
      <c r="L200" s="11"/>
    </row>
    <row r="201" customFormat="false" ht="46.25" hidden="false" customHeight="false" outlineLevel="0" collapsed="false">
      <c r="A201" s="7" t="s">
        <v>794</v>
      </c>
      <c r="B201" s="8" t="s">
        <v>795</v>
      </c>
      <c r="C201" s="7" t="s">
        <v>775</v>
      </c>
      <c r="D201" s="7" t="s">
        <v>80</v>
      </c>
      <c r="E201" s="8" t="s">
        <v>796</v>
      </c>
      <c r="F201" s="8" t="s">
        <v>797</v>
      </c>
      <c r="G201" s="7" t="s">
        <v>83</v>
      </c>
      <c r="H201" s="8"/>
      <c r="I201" s="9" t="s">
        <v>30</v>
      </c>
      <c r="J201" s="10"/>
      <c r="K201" s="9"/>
      <c r="L201" s="11"/>
    </row>
    <row r="202" customFormat="false" ht="46.25" hidden="false" customHeight="false" outlineLevel="0" collapsed="false">
      <c r="A202" s="7" t="s">
        <v>798</v>
      </c>
      <c r="B202" s="8" t="s">
        <v>799</v>
      </c>
      <c r="C202" s="7" t="s">
        <v>775</v>
      </c>
      <c r="D202" s="7" t="s">
        <v>80</v>
      </c>
      <c r="E202" s="8" t="s">
        <v>800</v>
      </c>
      <c r="F202" s="8" t="s">
        <v>801</v>
      </c>
      <c r="G202" s="7" t="s">
        <v>83</v>
      </c>
      <c r="H202" s="8"/>
      <c r="I202" s="9" t="s">
        <v>30</v>
      </c>
      <c r="J202" s="10"/>
      <c r="K202" s="9"/>
      <c r="L202" s="11"/>
    </row>
    <row r="203" customFormat="false" ht="35.05" hidden="false" customHeight="false" outlineLevel="0" collapsed="false">
      <c r="A203" s="7" t="s">
        <v>802</v>
      </c>
      <c r="B203" s="8" t="s">
        <v>803</v>
      </c>
      <c r="C203" s="7" t="s">
        <v>775</v>
      </c>
      <c r="D203" s="7" t="s">
        <v>80</v>
      </c>
      <c r="E203" s="8" t="s">
        <v>804</v>
      </c>
      <c r="F203" s="8" t="s">
        <v>805</v>
      </c>
      <c r="G203" s="7" t="s">
        <v>83</v>
      </c>
      <c r="H203" s="8"/>
      <c r="I203" s="9" t="s">
        <v>30</v>
      </c>
      <c r="J203" s="10"/>
      <c r="K203" s="9"/>
      <c r="L203" s="11"/>
    </row>
    <row r="204" customFormat="false" ht="15" hidden="false" customHeight="false" outlineLevel="0" collapsed="false">
      <c r="A204" s="7" t="s">
        <v>806</v>
      </c>
      <c r="B204" s="8" t="s">
        <v>807</v>
      </c>
      <c r="C204" s="7" t="s">
        <v>808</v>
      </c>
      <c r="D204" s="7" t="s">
        <v>27</v>
      </c>
      <c r="E204" s="8" t="s">
        <v>809</v>
      </c>
      <c r="F204" s="8"/>
      <c r="G204" s="7" t="s">
        <v>29</v>
      </c>
      <c r="H204" s="8"/>
      <c r="I204" s="9" t="s">
        <v>30</v>
      </c>
      <c r="J204" s="10"/>
      <c r="K204" s="9"/>
      <c r="L204" s="11"/>
    </row>
    <row r="205" customFormat="false" ht="23.85" hidden="false" customHeight="false" outlineLevel="0" collapsed="false">
      <c r="A205" s="7" t="s">
        <v>810</v>
      </c>
      <c r="B205" s="8" t="s">
        <v>811</v>
      </c>
      <c r="C205" s="7" t="s">
        <v>808</v>
      </c>
      <c r="D205" s="7" t="s">
        <v>33</v>
      </c>
      <c r="E205" s="8" t="s">
        <v>812</v>
      </c>
      <c r="F205" s="8" t="s">
        <v>813</v>
      </c>
      <c r="G205" s="7" t="s">
        <v>29</v>
      </c>
      <c r="H205" s="8"/>
      <c r="I205" s="9" t="s">
        <v>30</v>
      </c>
      <c r="J205" s="10"/>
      <c r="K205" s="9"/>
      <c r="L205" s="11"/>
    </row>
    <row r="206" customFormat="false" ht="23.85" hidden="false" customHeight="false" outlineLevel="0" collapsed="false">
      <c r="A206" s="7" t="s">
        <v>814</v>
      </c>
      <c r="B206" s="8" t="s">
        <v>815</v>
      </c>
      <c r="C206" s="7" t="s">
        <v>808</v>
      </c>
      <c r="D206" s="7" t="s">
        <v>33</v>
      </c>
      <c r="E206" s="8" t="s">
        <v>816</v>
      </c>
      <c r="F206" s="8" t="s">
        <v>817</v>
      </c>
      <c r="G206" s="7" t="s">
        <v>29</v>
      </c>
      <c r="H206" s="8"/>
      <c r="I206" s="9" t="s">
        <v>30</v>
      </c>
      <c r="J206" s="10"/>
      <c r="K206" s="9"/>
      <c r="L206" s="11"/>
    </row>
    <row r="207" customFormat="false" ht="23.85" hidden="false" customHeight="false" outlineLevel="0" collapsed="false">
      <c r="A207" s="7" t="s">
        <v>818</v>
      </c>
      <c r="B207" s="8" t="s">
        <v>819</v>
      </c>
      <c r="C207" s="7" t="s">
        <v>808</v>
      </c>
      <c r="D207" s="7" t="s">
        <v>33</v>
      </c>
      <c r="E207" s="8" t="s">
        <v>820</v>
      </c>
      <c r="F207" s="8" t="s">
        <v>383</v>
      </c>
      <c r="G207" s="7" t="s">
        <v>29</v>
      </c>
      <c r="H207" s="8"/>
      <c r="I207" s="9" t="s">
        <v>30</v>
      </c>
      <c r="J207" s="10"/>
      <c r="K207" s="9"/>
      <c r="L207" s="11"/>
    </row>
    <row r="208" customFormat="false" ht="23.85" hidden="false" customHeight="false" outlineLevel="0" collapsed="false">
      <c r="A208" s="7" t="s">
        <v>821</v>
      </c>
      <c r="B208" s="8" t="s">
        <v>822</v>
      </c>
      <c r="C208" s="7" t="s">
        <v>808</v>
      </c>
      <c r="D208" s="7" t="s">
        <v>33</v>
      </c>
      <c r="E208" s="8" t="s">
        <v>823</v>
      </c>
      <c r="F208" s="8"/>
      <c r="G208" s="7" t="s">
        <v>29</v>
      </c>
      <c r="H208" s="8"/>
      <c r="I208" s="9" t="s">
        <v>30</v>
      </c>
      <c r="J208" s="10"/>
      <c r="K208" s="9"/>
      <c r="L208" s="11"/>
    </row>
    <row r="209" customFormat="false" ht="23.85" hidden="false" customHeight="false" outlineLevel="0" collapsed="false">
      <c r="A209" s="7" t="s">
        <v>824</v>
      </c>
      <c r="B209" s="8" t="s">
        <v>825</v>
      </c>
      <c r="C209" s="7" t="s">
        <v>808</v>
      </c>
      <c r="D209" s="7" t="s">
        <v>33</v>
      </c>
      <c r="E209" s="8" t="s">
        <v>826</v>
      </c>
      <c r="F209" s="8" t="s">
        <v>827</v>
      </c>
      <c r="G209" s="7" t="s">
        <v>29</v>
      </c>
      <c r="H209" s="8"/>
      <c r="I209" s="9" t="s">
        <v>30</v>
      </c>
      <c r="J209" s="10"/>
      <c r="K209" s="9"/>
      <c r="L209" s="11"/>
    </row>
    <row r="210" customFormat="false" ht="23.85" hidden="false" customHeight="false" outlineLevel="0" collapsed="false">
      <c r="A210" s="7" t="s">
        <v>828</v>
      </c>
      <c r="B210" s="8" t="s">
        <v>829</v>
      </c>
      <c r="C210" s="7" t="s">
        <v>808</v>
      </c>
      <c r="D210" s="7" t="s">
        <v>50</v>
      </c>
      <c r="E210" s="8" t="s">
        <v>830</v>
      </c>
      <c r="F210" s="8"/>
      <c r="G210" s="7" t="s">
        <v>29</v>
      </c>
      <c r="H210" s="8"/>
      <c r="I210" s="9" t="s">
        <v>30</v>
      </c>
      <c r="J210" s="10"/>
      <c r="K210" s="9"/>
      <c r="L210" s="11"/>
    </row>
    <row r="211" customFormat="false" ht="35.05" hidden="false" customHeight="false" outlineLevel="0" collapsed="false">
      <c r="A211" s="7" t="s">
        <v>831</v>
      </c>
      <c r="B211" s="8" t="s">
        <v>832</v>
      </c>
      <c r="C211" s="7" t="s">
        <v>808</v>
      </c>
      <c r="D211" s="7" t="s">
        <v>80</v>
      </c>
      <c r="E211" s="8" t="s">
        <v>833</v>
      </c>
      <c r="F211" s="8" t="s">
        <v>834</v>
      </c>
      <c r="G211" s="7" t="s">
        <v>83</v>
      </c>
      <c r="H211" s="8"/>
      <c r="I211" s="9" t="s">
        <v>30</v>
      </c>
      <c r="J211" s="10"/>
      <c r="K211" s="9"/>
      <c r="L211" s="11"/>
    </row>
    <row r="212" customFormat="false" ht="46.25" hidden="false" customHeight="false" outlineLevel="0" collapsed="false">
      <c r="A212" s="7" t="s">
        <v>835</v>
      </c>
      <c r="B212" s="8" t="s">
        <v>836</v>
      </c>
      <c r="C212" s="7" t="s">
        <v>808</v>
      </c>
      <c r="D212" s="7" t="s">
        <v>80</v>
      </c>
      <c r="E212" s="8" t="s">
        <v>837</v>
      </c>
      <c r="F212" s="8" t="s">
        <v>838</v>
      </c>
      <c r="G212" s="7" t="s">
        <v>83</v>
      </c>
      <c r="H212" s="8"/>
      <c r="I212" s="9" t="s">
        <v>30</v>
      </c>
      <c r="J212" s="10"/>
      <c r="K212" s="9"/>
      <c r="L212" s="11"/>
    </row>
    <row r="213" customFormat="false" ht="46.25" hidden="false" customHeight="false" outlineLevel="0" collapsed="false">
      <c r="A213" s="7" t="s">
        <v>839</v>
      </c>
      <c r="B213" s="8" t="s">
        <v>840</v>
      </c>
      <c r="C213" s="7" t="s">
        <v>808</v>
      </c>
      <c r="D213" s="7" t="s">
        <v>80</v>
      </c>
      <c r="E213" s="8" t="s">
        <v>841</v>
      </c>
      <c r="F213" s="8" t="s">
        <v>842</v>
      </c>
      <c r="G213" s="7" t="s">
        <v>83</v>
      </c>
      <c r="H213" s="8"/>
      <c r="I213" s="9" t="s">
        <v>30</v>
      </c>
      <c r="J213" s="10"/>
      <c r="K213" s="9"/>
      <c r="L213" s="11"/>
    </row>
    <row r="214" customFormat="false" ht="23.85" hidden="false" customHeight="false" outlineLevel="0" collapsed="false">
      <c r="A214" s="7" t="s">
        <v>843</v>
      </c>
      <c r="B214" s="8" t="s">
        <v>844</v>
      </c>
      <c r="C214" s="7" t="s">
        <v>845</v>
      </c>
      <c r="D214" s="7" t="s">
        <v>27</v>
      </c>
      <c r="E214" s="8" t="s">
        <v>846</v>
      </c>
      <c r="F214" s="8"/>
      <c r="G214" s="7" t="s">
        <v>29</v>
      </c>
      <c r="H214" s="8"/>
      <c r="I214" s="9" t="s">
        <v>30</v>
      </c>
      <c r="J214" s="10"/>
      <c r="K214" s="9"/>
      <c r="L214" s="11"/>
    </row>
    <row r="215" customFormat="false" ht="23.85" hidden="false" customHeight="false" outlineLevel="0" collapsed="false">
      <c r="A215" s="7" t="s">
        <v>847</v>
      </c>
      <c r="B215" s="8" t="s">
        <v>848</v>
      </c>
      <c r="C215" s="7" t="s">
        <v>845</v>
      </c>
      <c r="D215" s="7" t="s">
        <v>33</v>
      </c>
      <c r="E215" s="8" t="s">
        <v>849</v>
      </c>
      <c r="F215" s="8"/>
      <c r="G215" s="7" t="s">
        <v>29</v>
      </c>
      <c r="H215" s="8"/>
      <c r="I215" s="9" t="s">
        <v>30</v>
      </c>
      <c r="J215" s="10"/>
      <c r="K215" s="9"/>
      <c r="L215" s="11"/>
    </row>
    <row r="216" customFormat="false" ht="23.85" hidden="false" customHeight="false" outlineLevel="0" collapsed="false">
      <c r="A216" s="7" t="s">
        <v>850</v>
      </c>
      <c r="B216" s="8" t="s">
        <v>851</v>
      </c>
      <c r="C216" s="7" t="s">
        <v>845</v>
      </c>
      <c r="D216" s="7" t="s">
        <v>33</v>
      </c>
      <c r="E216" s="8" t="s">
        <v>852</v>
      </c>
      <c r="F216" s="8" t="s">
        <v>853</v>
      </c>
      <c r="G216" s="7" t="s">
        <v>29</v>
      </c>
      <c r="H216" s="8"/>
      <c r="I216" s="9" t="s">
        <v>30</v>
      </c>
      <c r="J216" s="10"/>
      <c r="K216" s="9"/>
      <c r="L216" s="11"/>
    </row>
    <row r="217" customFormat="false" ht="23.85" hidden="false" customHeight="false" outlineLevel="0" collapsed="false">
      <c r="A217" s="7" t="s">
        <v>854</v>
      </c>
      <c r="B217" s="8" t="s">
        <v>855</v>
      </c>
      <c r="C217" s="7" t="s">
        <v>845</v>
      </c>
      <c r="D217" s="7" t="s">
        <v>33</v>
      </c>
      <c r="E217" s="8" t="s">
        <v>856</v>
      </c>
      <c r="F217" s="8"/>
      <c r="G217" s="7" t="s">
        <v>29</v>
      </c>
      <c r="H217" s="8"/>
      <c r="I217" s="9" t="s">
        <v>30</v>
      </c>
      <c r="J217" s="10"/>
      <c r="K217" s="9"/>
      <c r="L217" s="11"/>
    </row>
    <row r="218" customFormat="false" ht="23.85" hidden="false" customHeight="false" outlineLevel="0" collapsed="false">
      <c r="A218" s="7" t="s">
        <v>857</v>
      </c>
      <c r="B218" s="8" t="s">
        <v>858</v>
      </c>
      <c r="C218" s="7" t="s">
        <v>845</v>
      </c>
      <c r="D218" s="7" t="s">
        <v>33</v>
      </c>
      <c r="E218" s="8" t="s">
        <v>859</v>
      </c>
      <c r="F218" s="8" t="s">
        <v>860</v>
      </c>
      <c r="G218" s="7" t="s">
        <v>29</v>
      </c>
      <c r="H218" s="8"/>
      <c r="I218" s="9" t="s">
        <v>30</v>
      </c>
      <c r="J218" s="10"/>
      <c r="K218" s="9"/>
      <c r="L218" s="11"/>
    </row>
    <row r="219" customFormat="false" ht="23.85" hidden="false" customHeight="false" outlineLevel="0" collapsed="false">
      <c r="A219" s="7" t="s">
        <v>861</v>
      </c>
      <c r="B219" s="8" t="s">
        <v>862</v>
      </c>
      <c r="C219" s="7" t="s">
        <v>845</v>
      </c>
      <c r="D219" s="7" t="s">
        <v>33</v>
      </c>
      <c r="E219" s="8" t="s">
        <v>863</v>
      </c>
      <c r="F219" s="8" t="s">
        <v>864</v>
      </c>
      <c r="G219" s="7" t="s">
        <v>29</v>
      </c>
      <c r="H219" s="8"/>
      <c r="I219" s="9" t="s">
        <v>30</v>
      </c>
      <c r="J219" s="10"/>
      <c r="K219" s="9"/>
      <c r="L219" s="11"/>
    </row>
    <row r="220" customFormat="false" ht="23.85" hidden="false" customHeight="false" outlineLevel="0" collapsed="false">
      <c r="A220" s="7" t="s">
        <v>865</v>
      </c>
      <c r="B220" s="8" t="s">
        <v>866</v>
      </c>
      <c r="C220" s="7" t="s">
        <v>845</v>
      </c>
      <c r="D220" s="7" t="s">
        <v>50</v>
      </c>
      <c r="E220" s="8" t="s">
        <v>867</v>
      </c>
      <c r="F220" s="8"/>
      <c r="G220" s="7" t="s">
        <v>29</v>
      </c>
      <c r="H220" s="8"/>
      <c r="I220" s="9" t="s">
        <v>30</v>
      </c>
      <c r="J220" s="10"/>
      <c r="K220" s="9"/>
      <c r="L220" s="11"/>
    </row>
    <row r="221" customFormat="false" ht="35.05" hidden="false" customHeight="false" outlineLevel="0" collapsed="false">
      <c r="A221" s="7" t="s">
        <v>868</v>
      </c>
      <c r="B221" s="8" t="s">
        <v>869</v>
      </c>
      <c r="C221" s="7" t="s">
        <v>845</v>
      </c>
      <c r="D221" s="7" t="s">
        <v>80</v>
      </c>
      <c r="E221" s="8" t="s">
        <v>870</v>
      </c>
      <c r="F221" s="8" t="s">
        <v>871</v>
      </c>
      <c r="G221" s="7" t="s">
        <v>83</v>
      </c>
      <c r="H221" s="8"/>
      <c r="I221" s="9" t="s">
        <v>30</v>
      </c>
      <c r="J221" s="10"/>
      <c r="K221" s="9"/>
      <c r="L221" s="11"/>
    </row>
    <row r="222" customFormat="false" ht="57.45" hidden="false" customHeight="false" outlineLevel="0" collapsed="false">
      <c r="A222" s="7" t="s">
        <v>872</v>
      </c>
      <c r="B222" s="8" t="s">
        <v>873</v>
      </c>
      <c r="C222" s="7" t="s">
        <v>845</v>
      </c>
      <c r="D222" s="7" t="s">
        <v>80</v>
      </c>
      <c r="E222" s="8" t="s">
        <v>874</v>
      </c>
      <c r="F222" s="8" t="s">
        <v>875</v>
      </c>
      <c r="G222" s="7" t="s">
        <v>83</v>
      </c>
      <c r="H222" s="8"/>
      <c r="I222" s="9" t="s">
        <v>30</v>
      </c>
      <c r="J222" s="10"/>
      <c r="K222" s="9"/>
      <c r="L222" s="11"/>
    </row>
    <row r="223" customFormat="false" ht="46.25" hidden="false" customHeight="false" outlineLevel="0" collapsed="false">
      <c r="A223" s="7" t="s">
        <v>876</v>
      </c>
      <c r="B223" s="8" t="s">
        <v>877</v>
      </c>
      <c r="C223" s="7" t="s">
        <v>845</v>
      </c>
      <c r="D223" s="7" t="s">
        <v>80</v>
      </c>
      <c r="E223" s="8" t="s">
        <v>878</v>
      </c>
      <c r="F223" s="8" t="s">
        <v>879</v>
      </c>
      <c r="G223" s="7" t="s">
        <v>83</v>
      </c>
      <c r="H223" s="8"/>
      <c r="I223" s="9" t="s">
        <v>30</v>
      </c>
      <c r="J223" s="10"/>
      <c r="K223" s="9"/>
      <c r="L223" s="11"/>
    </row>
    <row r="224" customFormat="false" ht="23.85" hidden="false" customHeight="false" outlineLevel="0" collapsed="false">
      <c r="A224" s="7" t="s">
        <v>880</v>
      </c>
      <c r="B224" s="8" t="s">
        <v>881</v>
      </c>
      <c r="C224" s="7" t="s">
        <v>882</v>
      </c>
      <c r="D224" s="7" t="s">
        <v>27</v>
      </c>
      <c r="E224" s="8" t="s">
        <v>883</v>
      </c>
      <c r="F224" s="8"/>
      <c r="G224" s="7" t="s">
        <v>29</v>
      </c>
      <c r="H224" s="8" t="s">
        <v>884</v>
      </c>
      <c r="I224" s="9" t="s">
        <v>30</v>
      </c>
      <c r="J224" s="10"/>
      <c r="K224" s="9"/>
      <c r="L224" s="11"/>
    </row>
    <row r="225" customFormat="false" ht="23.85" hidden="false" customHeight="false" outlineLevel="0" collapsed="false">
      <c r="A225" s="7" t="s">
        <v>885</v>
      </c>
      <c r="B225" s="8" t="s">
        <v>886</v>
      </c>
      <c r="C225" s="7" t="s">
        <v>882</v>
      </c>
      <c r="D225" s="7" t="s">
        <v>33</v>
      </c>
      <c r="E225" s="8" t="s">
        <v>887</v>
      </c>
      <c r="F225" s="8" t="s">
        <v>888</v>
      </c>
      <c r="G225" s="7" t="s">
        <v>29</v>
      </c>
      <c r="H225" s="8"/>
      <c r="I225" s="9" t="s">
        <v>30</v>
      </c>
      <c r="J225" s="10"/>
      <c r="K225" s="9"/>
      <c r="L225" s="11"/>
    </row>
    <row r="226" customFormat="false" ht="23.85" hidden="false" customHeight="false" outlineLevel="0" collapsed="false">
      <c r="A226" s="7" t="s">
        <v>889</v>
      </c>
      <c r="B226" s="8" t="s">
        <v>890</v>
      </c>
      <c r="C226" s="7" t="s">
        <v>882</v>
      </c>
      <c r="D226" s="7" t="s">
        <v>33</v>
      </c>
      <c r="E226" s="8" t="s">
        <v>891</v>
      </c>
      <c r="F226" s="8" t="s">
        <v>892</v>
      </c>
      <c r="G226" s="7" t="s">
        <v>29</v>
      </c>
      <c r="H226" s="8" t="s">
        <v>884</v>
      </c>
      <c r="I226" s="9" t="s">
        <v>30</v>
      </c>
      <c r="J226" s="10"/>
      <c r="K226" s="9"/>
      <c r="L226" s="11"/>
    </row>
    <row r="227" customFormat="false" ht="35.05" hidden="false" customHeight="false" outlineLevel="0" collapsed="false">
      <c r="A227" s="7" t="s">
        <v>893</v>
      </c>
      <c r="B227" s="8" t="s">
        <v>894</v>
      </c>
      <c r="C227" s="7" t="s">
        <v>882</v>
      </c>
      <c r="D227" s="7" t="s">
        <v>33</v>
      </c>
      <c r="E227" s="8" t="s">
        <v>895</v>
      </c>
      <c r="F227" s="8" t="s">
        <v>896</v>
      </c>
      <c r="G227" s="7" t="s">
        <v>29</v>
      </c>
      <c r="H227" s="8"/>
      <c r="I227" s="9" t="s">
        <v>30</v>
      </c>
      <c r="J227" s="10"/>
      <c r="K227" s="9"/>
      <c r="L227" s="11"/>
    </row>
    <row r="228" customFormat="false" ht="23.85" hidden="false" customHeight="false" outlineLevel="0" collapsed="false">
      <c r="A228" s="7" t="s">
        <v>897</v>
      </c>
      <c r="B228" s="8" t="s">
        <v>898</v>
      </c>
      <c r="C228" s="7" t="s">
        <v>882</v>
      </c>
      <c r="D228" s="7" t="s">
        <v>33</v>
      </c>
      <c r="E228" s="8" t="s">
        <v>899</v>
      </c>
      <c r="F228" s="8" t="s">
        <v>900</v>
      </c>
      <c r="G228" s="7" t="s">
        <v>29</v>
      </c>
      <c r="H228" s="8"/>
      <c r="I228" s="9" t="s">
        <v>30</v>
      </c>
      <c r="J228" s="10"/>
      <c r="K228" s="9"/>
      <c r="L228" s="11"/>
    </row>
    <row r="229" customFormat="false" ht="23.85" hidden="false" customHeight="false" outlineLevel="0" collapsed="false">
      <c r="A229" s="7" t="s">
        <v>901</v>
      </c>
      <c r="B229" s="8" t="s">
        <v>902</v>
      </c>
      <c r="C229" s="7" t="s">
        <v>882</v>
      </c>
      <c r="D229" s="7" t="s">
        <v>33</v>
      </c>
      <c r="E229" s="8" t="s">
        <v>903</v>
      </c>
      <c r="F229" s="8" t="s">
        <v>904</v>
      </c>
      <c r="G229" s="7" t="s">
        <v>29</v>
      </c>
      <c r="H229" s="8"/>
      <c r="I229" s="9" t="s">
        <v>30</v>
      </c>
      <c r="J229" s="10"/>
      <c r="K229" s="9"/>
      <c r="L229" s="11"/>
    </row>
    <row r="230" customFormat="false" ht="23.85" hidden="false" customHeight="false" outlineLevel="0" collapsed="false">
      <c r="A230" s="7" t="s">
        <v>905</v>
      </c>
      <c r="B230" s="8" t="s">
        <v>906</v>
      </c>
      <c r="C230" s="7" t="s">
        <v>882</v>
      </c>
      <c r="D230" s="7" t="s">
        <v>50</v>
      </c>
      <c r="E230" s="8" t="s">
        <v>907</v>
      </c>
      <c r="F230" s="8"/>
      <c r="G230" s="7" t="s">
        <v>29</v>
      </c>
      <c r="H230" s="8"/>
      <c r="I230" s="9" t="s">
        <v>30</v>
      </c>
      <c r="J230" s="10"/>
      <c r="K230" s="9"/>
      <c r="L230" s="11"/>
    </row>
    <row r="231" customFormat="false" ht="57.45" hidden="false" customHeight="false" outlineLevel="0" collapsed="false">
      <c r="A231" s="7" t="s">
        <v>908</v>
      </c>
      <c r="B231" s="8" t="s">
        <v>909</v>
      </c>
      <c r="C231" s="7" t="s">
        <v>882</v>
      </c>
      <c r="D231" s="7" t="s">
        <v>80</v>
      </c>
      <c r="E231" s="8" t="s">
        <v>910</v>
      </c>
      <c r="F231" s="8" t="s">
        <v>911</v>
      </c>
      <c r="G231" s="7" t="s">
        <v>83</v>
      </c>
      <c r="H231" s="8" t="s">
        <v>884</v>
      </c>
      <c r="I231" s="9" t="s">
        <v>30</v>
      </c>
      <c r="J231" s="10"/>
      <c r="K231" s="9"/>
      <c r="L231" s="11"/>
    </row>
    <row r="232" customFormat="false" ht="57.45" hidden="false" customHeight="false" outlineLevel="0" collapsed="false">
      <c r="A232" s="7" t="s">
        <v>912</v>
      </c>
      <c r="B232" s="8" t="s">
        <v>913</v>
      </c>
      <c r="C232" s="7" t="s">
        <v>882</v>
      </c>
      <c r="D232" s="7" t="s">
        <v>80</v>
      </c>
      <c r="E232" s="8" t="s">
        <v>914</v>
      </c>
      <c r="F232" s="8" t="s">
        <v>915</v>
      </c>
      <c r="G232" s="7" t="s">
        <v>83</v>
      </c>
      <c r="H232" s="8"/>
      <c r="I232" s="9" t="s">
        <v>30</v>
      </c>
      <c r="J232" s="10"/>
      <c r="K232" s="9"/>
      <c r="L232" s="11"/>
    </row>
    <row r="233" customFormat="false" ht="46.25" hidden="false" customHeight="false" outlineLevel="0" collapsed="false">
      <c r="A233" s="7" t="s">
        <v>916</v>
      </c>
      <c r="B233" s="8" t="s">
        <v>917</v>
      </c>
      <c r="C233" s="7" t="s">
        <v>882</v>
      </c>
      <c r="D233" s="7" t="s">
        <v>80</v>
      </c>
      <c r="E233" s="8" t="s">
        <v>918</v>
      </c>
      <c r="F233" s="8" t="s">
        <v>919</v>
      </c>
      <c r="G233" s="7" t="s">
        <v>83</v>
      </c>
      <c r="H233" s="8"/>
      <c r="I233" s="9" t="s">
        <v>30</v>
      </c>
      <c r="J233" s="10"/>
      <c r="K233" s="9"/>
      <c r="L233" s="11"/>
    </row>
    <row r="234" customFormat="false" ht="15" hidden="false" customHeight="false" outlineLevel="0" collapsed="false">
      <c r="A234" s="7" t="s">
        <v>920</v>
      </c>
      <c r="B234" s="8" t="s">
        <v>921</v>
      </c>
      <c r="C234" s="7" t="s">
        <v>922</v>
      </c>
      <c r="D234" s="7" t="s">
        <v>27</v>
      </c>
      <c r="E234" s="8" t="s">
        <v>923</v>
      </c>
      <c r="F234" s="8"/>
      <c r="G234" s="7" t="s">
        <v>29</v>
      </c>
      <c r="H234" s="8"/>
      <c r="I234" s="9" t="s">
        <v>30</v>
      </c>
      <c r="J234" s="10"/>
      <c r="K234" s="9"/>
      <c r="L234" s="11"/>
    </row>
    <row r="235" customFormat="false" ht="23.85" hidden="false" customHeight="false" outlineLevel="0" collapsed="false">
      <c r="A235" s="7" t="s">
        <v>924</v>
      </c>
      <c r="B235" s="8" t="s">
        <v>925</v>
      </c>
      <c r="C235" s="7" t="s">
        <v>922</v>
      </c>
      <c r="D235" s="7" t="s">
        <v>33</v>
      </c>
      <c r="E235" s="8" t="s">
        <v>926</v>
      </c>
      <c r="F235" s="8" t="s">
        <v>927</v>
      </c>
      <c r="G235" s="7" t="s">
        <v>29</v>
      </c>
      <c r="H235" s="8"/>
      <c r="I235" s="9" t="s">
        <v>30</v>
      </c>
      <c r="J235" s="10"/>
      <c r="K235" s="9"/>
      <c r="L235" s="11"/>
    </row>
    <row r="236" customFormat="false" ht="23.85" hidden="false" customHeight="false" outlineLevel="0" collapsed="false">
      <c r="A236" s="7" t="s">
        <v>928</v>
      </c>
      <c r="B236" s="8" t="s">
        <v>929</v>
      </c>
      <c r="C236" s="7" t="s">
        <v>922</v>
      </c>
      <c r="D236" s="7" t="s">
        <v>33</v>
      </c>
      <c r="E236" s="8" t="s">
        <v>930</v>
      </c>
      <c r="F236" s="8" t="s">
        <v>931</v>
      </c>
      <c r="G236" s="7" t="s">
        <v>29</v>
      </c>
      <c r="H236" s="8"/>
      <c r="I236" s="9" t="s">
        <v>30</v>
      </c>
      <c r="J236" s="10"/>
      <c r="K236" s="9"/>
      <c r="L236" s="11"/>
    </row>
    <row r="237" customFormat="false" ht="23.85" hidden="false" customHeight="false" outlineLevel="0" collapsed="false">
      <c r="A237" s="7" t="s">
        <v>932</v>
      </c>
      <c r="B237" s="8" t="s">
        <v>933</v>
      </c>
      <c r="C237" s="7" t="s">
        <v>922</v>
      </c>
      <c r="D237" s="7" t="s">
        <v>33</v>
      </c>
      <c r="E237" s="8" t="s">
        <v>934</v>
      </c>
      <c r="F237" s="8" t="s">
        <v>935</v>
      </c>
      <c r="G237" s="7" t="s">
        <v>29</v>
      </c>
      <c r="H237" s="8"/>
      <c r="I237" s="9" t="s">
        <v>30</v>
      </c>
      <c r="J237" s="10"/>
      <c r="K237" s="9"/>
      <c r="L237" s="11"/>
    </row>
    <row r="238" customFormat="false" ht="15" hidden="false" customHeight="false" outlineLevel="0" collapsed="false">
      <c r="A238" s="7" t="s">
        <v>936</v>
      </c>
      <c r="B238" s="8" t="s">
        <v>937</v>
      </c>
      <c r="C238" s="7" t="s">
        <v>922</v>
      </c>
      <c r="D238" s="7" t="s">
        <v>33</v>
      </c>
      <c r="E238" s="8" t="s">
        <v>938</v>
      </c>
      <c r="F238" s="8" t="s">
        <v>939</v>
      </c>
      <c r="G238" s="7" t="s">
        <v>29</v>
      </c>
      <c r="H238" s="8"/>
      <c r="I238" s="9" t="s">
        <v>30</v>
      </c>
      <c r="J238" s="10"/>
      <c r="K238" s="9"/>
      <c r="L238" s="11"/>
    </row>
    <row r="239" customFormat="false" ht="23.85" hidden="false" customHeight="false" outlineLevel="0" collapsed="false">
      <c r="A239" s="7" t="s">
        <v>940</v>
      </c>
      <c r="B239" s="8" t="s">
        <v>941</v>
      </c>
      <c r="C239" s="7" t="s">
        <v>922</v>
      </c>
      <c r="D239" s="7" t="s">
        <v>33</v>
      </c>
      <c r="E239" s="8" t="s">
        <v>942</v>
      </c>
      <c r="F239" s="8" t="s">
        <v>943</v>
      </c>
      <c r="G239" s="7" t="s">
        <v>29</v>
      </c>
      <c r="H239" s="8" t="s">
        <v>884</v>
      </c>
      <c r="I239" s="9" t="s">
        <v>30</v>
      </c>
      <c r="J239" s="10"/>
      <c r="K239" s="9"/>
      <c r="L239" s="11"/>
    </row>
    <row r="240" customFormat="false" ht="23.85" hidden="false" customHeight="false" outlineLevel="0" collapsed="false">
      <c r="A240" s="7" t="s">
        <v>944</v>
      </c>
      <c r="B240" s="8" t="s">
        <v>945</v>
      </c>
      <c r="C240" s="7" t="s">
        <v>922</v>
      </c>
      <c r="D240" s="7" t="s">
        <v>50</v>
      </c>
      <c r="E240" s="8" t="s">
        <v>946</v>
      </c>
      <c r="F240" s="8"/>
      <c r="G240" s="7" t="s">
        <v>29</v>
      </c>
      <c r="H240" s="8"/>
      <c r="I240" s="9" t="s">
        <v>30</v>
      </c>
      <c r="J240" s="10"/>
      <c r="K240" s="9"/>
      <c r="L240" s="11"/>
    </row>
    <row r="241" customFormat="false" ht="57.45" hidden="false" customHeight="false" outlineLevel="0" collapsed="false">
      <c r="A241" s="7" t="s">
        <v>947</v>
      </c>
      <c r="B241" s="8" t="s">
        <v>948</v>
      </c>
      <c r="C241" s="7" t="s">
        <v>922</v>
      </c>
      <c r="D241" s="7" t="s">
        <v>80</v>
      </c>
      <c r="E241" s="8" t="s">
        <v>949</v>
      </c>
      <c r="F241" s="8" t="s">
        <v>950</v>
      </c>
      <c r="G241" s="7" t="s">
        <v>83</v>
      </c>
      <c r="H241" s="8"/>
      <c r="I241" s="9" t="s">
        <v>30</v>
      </c>
      <c r="J241" s="10"/>
      <c r="K241" s="9"/>
      <c r="L241" s="11"/>
    </row>
    <row r="242" customFormat="false" ht="35.05" hidden="false" customHeight="false" outlineLevel="0" collapsed="false">
      <c r="A242" s="7" t="s">
        <v>951</v>
      </c>
      <c r="B242" s="8" t="s">
        <v>952</v>
      </c>
      <c r="C242" s="7" t="s">
        <v>922</v>
      </c>
      <c r="D242" s="7" t="s">
        <v>80</v>
      </c>
      <c r="E242" s="8" t="s">
        <v>953</v>
      </c>
      <c r="F242" s="8" t="s">
        <v>954</v>
      </c>
      <c r="G242" s="7" t="s">
        <v>83</v>
      </c>
      <c r="H242" s="8" t="s">
        <v>884</v>
      </c>
      <c r="I242" s="9" t="s">
        <v>30</v>
      </c>
      <c r="J242" s="10"/>
      <c r="K242" s="9"/>
      <c r="L242" s="11"/>
    </row>
    <row r="243" customFormat="false" ht="46.25" hidden="false" customHeight="false" outlineLevel="0" collapsed="false">
      <c r="A243" s="7" t="s">
        <v>955</v>
      </c>
      <c r="B243" s="8" t="s">
        <v>956</v>
      </c>
      <c r="C243" s="7" t="s">
        <v>922</v>
      </c>
      <c r="D243" s="7" t="s">
        <v>80</v>
      </c>
      <c r="E243" s="8" t="s">
        <v>957</v>
      </c>
      <c r="F243" s="8" t="s">
        <v>958</v>
      </c>
      <c r="G243" s="7" t="s">
        <v>83</v>
      </c>
      <c r="H243" s="8"/>
      <c r="I243" s="9" t="s">
        <v>30</v>
      </c>
      <c r="J243" s="10"/>
      <c r="K243" s="9"/>
      <c r="L243" s="11"/>
    </row>
    <row r="244" customFormat="false" ht="23.85" hidden="false" customHeight="false" outlineLevel="0" collapsed="false">
      <c r="A244" s="7" t="s">
        <v>959</v>
      </c>
      <c r="B244" s="8" t="s">
        <v>960</v>
      </c>
      <c r="C244" s="7" t="s">
        <v>961</v>
      </c>
      <c r="D244" s="7" t="s">
        <v>27</v>
      </c>
      <c r="E244" s="8" t="s">
        <v>962</v>
      </c>
      <c r="F244" s="8"/>
      <c r="G244" s="7" t="s">
        <v>29</v>
      </c>
      <c r="H244" s="8"/>
      <c r="I244" s="9" t="s">
        <v>30</v>
      </c>
      <c r="J244" s="10"/>
      <c r="K244" s="9"/>
      <c r="L244" s="11"/>
    </row>
    <row r="245" customFormat="false" ht="23.85" hidden="false" customHeight="false" outlineLevel="0" collapsed="false">
      <c r="A245" s="7" t="s">
        <v>963</v>
      </c>
      <c r="B245" s="8" t="s">
        <v>964</v>
      </c>
      <c r="C245" s="7" t="s">
        <v>961</v>
      </c>
      <c r="D245" s="7" t="s">
        <v>33</v>
      </c>
      <c r="E245" s="8" t="s">
        <v>965</v>
      </c>
      <c r="F245" s="8" t="s">
        <v>966</v>
      </c>
      <c r="G245" s="7" t="s">
        <v>29</v>
      </c>
      <c r="H245" s="8"/>
      <c r="I245" s="9" t="s">
        <v>30</v>
      </c>
      <c r="J245" s="10"/>
      <c r="K245" s="9"/>
      <c r="L245" s="11"/>
    </row>
    <row r="246" customFormat="false" ht="15" hidden="false" customHeight="false" outlineLevel="0" collapsed="false">
      <c r="A246" s="7" t="s">
        <v>967</v>
      </c>
      <c r="B246" s="8" t="s">
        <v>968</v>
      </c>
      <c r="C246" s="7" t="s">
        <v>961</v>
      </c>
      <c r="D246" s="7" t="s">
        <v>33</v>
      </c>
      <c r="E246" s="8" t="s">
        <v>969</v>
      </c>
      <c r="F246" s="8" t="s">
        <v>970</v>
      </c>
      <c r="G246" s="7" t="s">
        <v>29</v>
      </c>
      <c r="H246" s="8"/>
      <c r="I246" s="9" t="s">
        <v>30</v>
      </c>
      <c r="J246" s="10"/>
      <c r="K246" s="9"/>
      <c r="L246" s="11"/>
    </row>
    <row r="247" customFormat="false" ht="23.85" hidden="false" customHeight="false" outlineLevel="0" collapsed="false">
      <c r="A247" s="7" t="s">
        <v>971</v>
      </c>
      <c r="B247" s="8" t="s">
        <v>972</v>
      </c>
      <c r="C247" s="7" t="s">
        <v>961</v>
      </c>
      <c r="D247" s="7" t="s">
        <v>33</v>
      </c>
      <c r="E247" s="8" t="s">
        <v>973</v>
      </c>
      <c r="F247" s="8"/>
      <c r="G247" s="7" t="s">
        <v>29</v>
      </c>
      <c r="H247" s="8"/>
      <c r="I247" s="9" t="s">
        <v>30</v>
      </c>
      <c r="J247" s="10"/>
      <c r="K247" s="9"/>
      <c r="L247" s="11"/>
    </row>
    <row r="248" customFormat="false" ht="23.85" hidden="false" customHeight="false" outlineLevel="0" collapsed="false">
      <c r="A248" s="7" t="s">
        <v>974</v>
      </c>
      <c r="B248" s="8" t="s">
        <v>975</v>
      </c>
      <c r="C248" s="7" t="s">
        <v>961</v>
      </c>
      <c r="D248" s="7" t="s">
        <v>33</v>
      </c>
      <c r="E248" s="8" t="s">
        <v>976</v>
      </c>
      <c r="F248" s="8" t="s">
        <v>977</v>
      </c>
      <c r="G248" s="7" t="s">
        <v>29</v>
      </c>
      <c r="H248" s="8"/>
      <c r="I248" s="9" t="s">
        <v>30</v>
      </c>
      <c r="J248" s="10"/>
      <c r="K248" s="9"/>
      <c r="L248" s="11"/>
    </row>
    <row r="249" customFormat="false" ht="23.85" hidden="false" customHeight="false" outlineLevel="0" collapsed="false">
      <c r="A249" s="7" t="s">
        <v>978</v>
      </c>
      <c r="B249" s="8" t="s">
        <v>979</v>
      </c>
      <c r="C249" s="7" t="s">
        <v>961</v>
      </c>
      <c r="D249" s="7" t="s">
        <v>33</v>
      </c>
      <c r="E249" s="8" t="s">
        <v>980</v>
      </c>
      <c r="F249" s="8" t="s">
        <v>981</v>
      </c>
      <c r="G249" s="7" t="s">
        <v>29</v>
      </c>
      <c r="H249" s="8"/>
      <c r="I249" s="9" t="s">
        <v>30</v>
      </c>
      <c r="J249" s="10"/>
      <c r="K249" s="9"/>
      <c r="L249" s="11"/>
    </row>
    <row r="250" customFormat="false" ht="23.85" hidden="false" customHeight="false" outlineLevel="0" collapsed="false">
      <c r="A250" s="7" t="s">
        <v>982</v>
      </c>
      <c r="B250" s="8" t="s">
        <v>983</v>
      </c>
      <c r="C250" s="7" t="s">
        <v>961</v>
      </c>
      <c r="D250" s="7" t="s">
        <v>50</v>
      </c>
      <c r="E250" s="8" t="s">
        <v>984</v>
      </c>
      <c r="F250" s="8"/>
      <c r="G250" s="7" t="s">
        <v>29</v>
      </c>
      <c r="H250" s="8"/>
      <c r="I250" s="9" t="s">
        <v>30</v>
      </c>
      <c r="J250" s="10"/>
      <c r="K250" s="9"/>
      <c r="L250" s="11"/>
    </row>
    <row r="251" customFormat="false" ht="46.25" hidden="false" customHeight="false" outlineLevel="0" collapsed="false">
      <c r="A251" s="7" t="s">
        <v>985</v>
      </c>
      <c r="B251" s="8" t="s">
        <v>986</v>
      </c>
      <c r="C251" s="7" t="s">
        <v>961</v>
      </c>
      <c r="D251" s="7" t="s">
        <v>80</v>
      </c>
      <c r="E251" s="8" t="s">
        <v>987</v>
      </c>
      <c r="F251" s="8" t="s">
        <v>988</v>
      </c>
      <c r="G251" s="7" t="s">
        <v>83</v>
      </c>
      <c r="H251" s="8"/>
      <c r="I251" s="9" t="s">
        <v>30</v>
      </c>
      <c r="J251" s="10"/>
      <c r="K251" s="9"/>
      <c r="L251" s="11"/>
    </row>
    <row r="252" customFormat="false" ht="46.25" hidden="false" customHeight="false" outlineLevel="0" collapsed="false">
      <c r="A252" s="7" t="s">
        <v>989</v>
      </c>
      <c r="B252" s="8" t="s">
        <v>990</v>
      </c>
      <c r="C252" s="7" t="s">
        <v>961</v>
      </c>
      <c r="D252" s="7" t="s">
        <v>80</v>
      </c>
      <c r="E252" s="8" t="s">
        <v>991</v>
      </c>
      <c r="F252" s="8" t="s">
        <v>992</v>
      </c>
      <c r="G252" s="7" t="s">
        <v>83</v>
      </c>
      <c r="H252" s="8"/>
      <c r="I252" s="9" t="s">
        <v>30</v>
      </c>
      <c r="J252" s="10"/>
      <c r="K252" s="9"/>
      <c r="L252" s="11"/>
    </row>
    <row r="253" customFormat="false" ht="46.25" hidden="false" customHeight="false" outlineLevel="0" collapsed="false">
      <c r="A253" s="7" t="s">
        <v>993</v>
      </c>
      <c r="B253" s="8" t="s">
        <v>994</v>
      </c>
      <c r="C253" s="7" t="s">
        <v>961</v>
      </c>
      <c r="D253" s="7" t="s">
        <v>80</v>
      </c>
      <c r="E253" s="8" t="s">
        <v>995</v>
      </c>
      <c r="F253" s="8" t="s">
        <v>996</v>
      </c>
      <c r="G253" s="7" t="s">
        <v>83</v>
      </c>
      <c r="H253" s="8"/>
      <c r="I253" s="9" t="s">
        <v>30</v>
      </c>
      <c r="J253" s="10"/>
      <c r="K253" s="9"/>
      <c r="L253" s="11"/>
    </row>
    <row r="254" customFormat="false" ht="23.85" hidden="false" customHeight="false" outlineLevel="0" collapsed="false">
      <c r="A254" s="7" t="s">
        <v>997</v>
      </c>
      <c r="B254" s="8" t="s">
        <v>998</v>
      </c>
      <c r="C254" s="7" t="s">
        <v>999</v>
      </c>
      <c r="D254" s="7" t="s">
        <v>27</v>
      </c>
      <c r="E254" s="8" t="s">
        <v>1000</v>
      </c>
      <c r="F254" s="8"/>
      <c r="G254" s="7" t="s">
        <v>29</v>
      </c>
      <c r="H254" s="8"/>
      <c r="I254" s="9" t="s">
        <v>30</v>
      </c>
      <c r="J254" s="10"/>
      <c r="K254" s="9"/>
      <c r="L254" s="11"/>
    </row>
    <row r="255" customFormat="false" ht="15" hidden="false" customHeight="false" outlineLevel="0" collapsed="false">
      <c r="A255" s="7" t="s">
        <v>1001</v>
      </c>
      <c r="B255" s="8" t="s">
        <v>1002</v>
      </c>
      <c r="C255" s="7" t="s">
        <v>999</v>
      </c>
      <c r="D255" s="7" t="s">
        <v>33</v>
      </c>
      <c r="E255" s="8" t="s">
        <v>1003</v>
      </c>
      <c r="F255" s="8" t="s">
        <v>1004</v>
      </c>
      <c r="G255" s="7" t="s">
        <v>29</v>
      </c>
      <c r="H255" s="8"/>
      <c r="I255" s="9" t="s">
        <v>30</v>
      </c>
      <c r="J255" s="10"/>
      <c r="K255" s="9"/>
      <c r="L255" s="11"/>
    </row>
    <row r="256" customFormat="false" ht="23.85" hidden="false" customHeight="false" outlineLevel="0" collapsed="false">
      <c r="A256" s="7" t="s">
        <v>1005</v>
      </c>
      <c r="B256" s="8" t="s">
        <v>1006</v>
      </c>
      <c r="C256" s="7" t="s">
        <v>999</v>
      </c>
      <c r="D256" s="7" t="s">
        <v>33</v>
      </c>
      <c r="E256" s="8" t="s">
        <v>1007</v>
      </c>
      <c r="F256" s="8" t="s">
        <v>1008</v>
      </c>
      <c r="G256" s="7" t="s">
        <v>29</v>
      </c>
      <c r="H256" s="8"/>
      <c r="I256" s="9" t="s">
        <v>30</v>
      </c>
      <c r="J256" s="10"/>
      <c r="K256" s="9"/>
      <c r="L256" s="11"/>
    </row>
    <row r="257" customFormat="false" ht="23.85" hidden="false" customHeight="false" outlineLevel="0" collapsed="false">
      <c r="A257" s="7" t="s">
        <v>1009</v>
      </c>
      <c r="B257" s="8" t="s">
        <v>1010</v>
      </c>
      <c r="C257" s="7" t="s">
        <v>999</v>
      </c>
      <c r="D257" s="7" t="s">
        <v>33</v>
      </c>
      <c r="E257" s="8" t="s">
        <v>1011</v>
      </c>
      <c r="F257" s="8"/>
      <c r="G257" s="7" t="s">
        <v>29</v>
      </c>
      <c r="H257" s="8"/>
      <c r="I257" s="9" t="s">
        <v>30</v>
      </c>
      <c r="J257" s="10"/>
      <c r="K257" s="9"/>
      <c r="L257" s="11"/>
    </row>
    <row r="258" customFormat="false" ht="15" hidden="false" customHeight="false" outlineLevel="0" collapsed="false">
      <c r="A258" s="7" t="s">
        <v>1012</v>
      </c>
      <c r="B258" s="8" t="s">
        <v>1013</v>
      </c>
      <c r="C258" s="7" t="s">
        <v>999</v>
      </c>
      <c r="D258" s="7" t="s">
        <v>33</v>
      </c>
      <c r="E258" s="8" t="s">
        <v>1014</v>
      </c>
      <c r="F258" s="8"/>
      <c r="G258" s="7" t="s">
        <v>29</v>
      </c>
      <c r="H258" s="8"/>
      <c r="I258" s="9" t="s">
        <v>30</v>
      </c>
      <c r="J258" s="10"/>
      <c r="K258" s="9"/>
      <c r="L258" s="11"/>
    </row>
    <row r="259" customFormat="false" ht="23.85" hidden="false" customHeight="false" outlineLevel="0" collapsed="false">
      <c r="A259" s="7" t="s">
        <v>1015</v>
      </c>
      <c r="B259" s="8" t="s">
        <v>1016</v>
      </c>
      <c r="C259" s="7" t="s">
        <v>999</v>
      </c>
      <c r="D259" s="7" t="s">
        <v>50</v>
      </c>
      <c r="E259" s="8" t="s">
        <v>1017</v>
      </c>
      <c r="F259" s="8"/>
      <c r="G259" s="7" t="s">
        <v>29</v>
      </c>
      <c r="H259" s="8"/>
      <c r="I259" s="9" t="s">
        <v>30</v>
      </c>
      <c r="J259" s="10"/>
      <c r="K259" s="9"/>
      <c r="L259" s="11"/>
    </row>
    <row r="260" customFormat="false" ht="57.45" hidden="false" customHeight="false" outlineLevel="0" collapsed="false">
      <c r="A260" s="7" t="s">
        <v>1018</v>
      </c>
      <c r="B260" s="8" t="s">
        <v>1019</v>
      </c>
      <c r="C260" s="7" t="s">
        <v>999</v>
      </c>
      <c r="D260" s="7" t="s">
        <v>80</v>
      </c>
      <c r="E260" s="8" t="s">
        <v>1020</v>
      </c>
      <c r="F260" s="8" t="s">
        <v>1021</v>
      </c>
      <c r="G260" s="7" t="s">
        <v>83</v>
      </c>
      <c r="H260" s="8"/>
      <c r="I260" s="9" t="s">
        <v>30</v>
      </c>
      <c r="J260" s="10"/>
      <c r="K260" s="9"/>
      <c r="L260" s="11"/>
    </row>
    <row r="261" customFormat="false" ht="46.25" hidden="false" customHeight="false" outlineLevel="0" collapsed="false">
      <c r="A261" s="7" t="s">
        <v>1022</v>
      </c>
      <c r="B261" s="8" t="s">
        <v>1023</v>
      </c>
      <c r="C261" s="7" t="s">
        <v>999</v>
      </c>
      <c r="D261" s="7" t="s">
        <v>80</v>
      </c>
      <c r="E261" s="8" t="s">
        <v>1024</v>
      </c>
      <c r="F261" s="8" t="s">
        <v>1025</v>
      </c>
      <c r="G261" s="7" t="s">
        <v>83</v>
      </c>
      <c r="H261" s="8"/>
      <c r="I261" s="9" t="s">
        <v>30</v>
      </c>
      <c r="J261" s="10"/>
      <c r="K261" s="9"/>
      <c r="L261" s="11"/>
    </row>
    <row r="262" customFormat="false" ht="35.05" hidden="false" customHeight="false" outlineLevel="0" collapsed="false">
      <c r="A262" s="7" t="s">
        <v>1026</v>
      </c>
      <c r="B262" s="8" t="s">
        <v>1027</v>
      </c>
      <c r="C262" s="7" t="s">
        <v>999</v>
      </c>
      <c r="D262" s="7" t="s">
        <v>80</v>
      </c>
      <c r="E262" s="8" t="s">
        <v>1028</v>
      </c>
      <c r="F262" s="8" t="s">
        <v>1029</v>
      </c>
      <c r="G262" s="7" t="s">
        <v>83</v>
      </c>
      <c r="H262" s="8"/>
      <c r="I262" s="9" t="s">
        <v>30</v>
      </c>
      <c r="J262" s="10"/>
      <c r="K262" s="9"/>
      <c r="L262" s="11"/>
    </row>
    <row r="263" customFormat="false" ht="23.85" hidden="false" customHeight="false" outlineLevel="0" collapsed="false">
      <c r="A263" s="7" t="s">
        <v>1030</v>
      </c>
      <c r="B263" s="8" t="s">
        <v>1031</v>
      </c>
      <c r="C263" s="7" t="s">
        <v>1032</v>
      </c>
      <c r="D263" s="7" t="s">
        <v>27</v>
      </c>
      <c r="E263" s="8" t="s">
        <v>1033</v>
      </c>
      <c r="F263" s="8"/>
      <c r="G263" s="7" t="s">
        <v>29</v>
      </c>
      <c r="H263" s="8"/>
      <c r="I263" s="9" t="s">
        <v>30</v>
      </c>
      <c r="J263" s="10"/>
      <c r="K263" s="9"/>
      <c r="L263" s="11"/>
    </row>
    <row r="264" customFormat="false" ht="23.85" hidden="false" customHeight="false" outlineLevel="0" collapsed="false">
      <c r="A264" s="7" t="s">
        <v>1034</v>
      </c>
      <c r="B264" s="8" t="s">
        <v>1035</v>
      </c>
      <c r="C264" s="7" t="s">
        <v>1032</v>
      </c>
      <c r="D264" s="7" t="s">
        <v>33</v>
      </c>
      <c r="E264" s="8" t="s">
        <v>1036</v>
      </c>
      <c r="F264" s="8" t="s">
        <v>478</v>
      </c>
      <c r="G264" s="7" t="s">
        <v>29</v>
      </c>
      <c r="H264" s="8"/>
      <c r="I264" s="9" t="s">
        <v>30</v>
      </c>
      <c r="J264" s="10"/>
      <c r="K264" s="9"/>
      <c r="L264" s="11"/>
    </row>
    <row r="265" customFormat="false" ht="23.85" hidden="false" customHeight="false" outlineLevel="0" collapsed="false">
      <c r="A265" s="7" t="s">
        <v>1037</v>
      </c>
      <c r="B265" s="8" t="s">
        <v>1038</v>
      </c>
      <c r="C265" s="7" t="s">
        <v>1032</v>
      </c>
      <c r="D265" s="7" t="s">
        <v>33</v>
      </c>
      <c r="E265" s="8" t="s">
        <v>1039</v>
      </c>
      <c r="F265" s="8" t="s">
        <v>383</v>
      </c>
      <c r="G265" s="7" t="s">
        <v>29</v>
      </c>
      <c r="H265" s="8"/>
      <c r="I265" s="9" t="s">
        <v>30</v>
      </c>
      <c r="J265" s="10"/>
      <c r="K265" s="9"/>
      <c r="L265" s="11"/>
    </row>
    <row r="266" customFormat="false" ht="23.85" hidden="false" customHeight="false" outlineLevel="0" collapsed="false">
      <c r="A266" s="7" t="s">
        <v>1040</v>
      </c>
      <c r="B266" s="8" t="s">
        <v>1041</v>
      </c>
      <c r="C266" s="7" t="s">
        <v>1032</v>
      </c>
      <c r="D266" s="7" t="s">
        <v>33</v>
      </c>
      <c r="E266" s="8" t="s">
        <v>1042</v>
      </c>
      <c r="F266" s="8" t="s">
        <v>1043</v>
      </c>
      <c r="G266" s="7" t="s">
        <v>29</v>
      </c>
      <c r="H266" s="8"/>
      <c r="I266" s="9" t="s">
        <v>30</v>
      </c>
      <c r="J266" s="10"/>
      <c r="K266" s="9"/>
      <c r="L266" s="11"/>
    </row>
    <row r="267" customFormat="false" ht="23.85" hidden="false" customHeight="false" outlineLevel="0" collapsed="false">
      <c r="A267" s="7" t="s">
        <v>1044</v>
      </c>
      <c r="B267" s="8" t="s">
        <v>1045</v>
      </c>
      <c r="C267" s="7" t="s">
        <v>1032</v>
      </c>
      <c r="D267" s="7" t="s">
        <v>33</v>
      </c>
      <c r="E267" s="8" t="s">
        <v>1046</v>
      </c>
      <c r="F267" s="8"/>
      <c r="G267" s="7" t="s">
        <v>29</v>
      </c>
      <c r="H267" s="8"/>
      <c r="I267" s="9" t="s">
        <v>30</v>
      </c>
      <c r="J267" s="10"/>
      <c r="K267" s="9"/>
      <c r="L267" s="11"/>
    </row>
    <row r="268" customFormat="false" ht="23.85" hidden="false" customHeight="false" outlineLevel="0" collapsed="false">
      <c r="A268" s="7" t="s">
        <v>1047</v>
      </c>
      <c r="B268" s="8" t="s">
        <v>1048</v>
      </c>
      <c r="C268" s="7" t="s">
        <v>1032</v>
      </c>
      <c r="D268" s="7" t="s">
        <v>33</v>
      </c>
      <c r="E268" s="8" t="s">
        <v>1049</v>
      </c>
      <c r="F268" s="8"/>
      <c r="G268" s="7" t="s">
        <v>29</v>
      </c>
      <c r="H268" s="8"/>
      <c r="I268" s="9" t="s">
        <v>30</v>
      </c>
      <c r="J268" s="10"/>
      <c r="K268" s="9"/>
      <c r="L268" s="11"/>
    </row>
    <row r="269" customFormat="false" ht="23.85" hidden="false" customHeight="false" outlineLevel="0" collapsed="false">
      <c r="A269" s="7" t="s">
        <v>1050</v>
      </c>
      <c r="B269" s="8" t="s">
        <v>1051</v>
      </c>
      <c r="C269" s="7" t="s">
        <v>1032</v>
      </c>
      <c r="D269" s="7" t="s">
        <v>50</v>
      </c>
      <c r="E269" s="8" t="s">
        <v>1052</v>
      </c>
      <c r="F269" s="8"/>
      <c r="G269" s="7" t="s">
        <v>29</v>
      </c>
      <c r="H269" s="8"/>
      <c r="I269" s="9" t="s">
        <v>30</v>
      </c>
      <c r="J269" s="10"/>
      <c r="K269" s="9"/>
      <c r="L269" s="11"/>
    </row>
    <row r="270" customFormat="false" ht="35.05" hidden="false" customHeight="false" outlineLevel="0" collapsed="false">
      <c r="A270" s="7" t="s">
        <v>1053</v>
      </c>
      <c r="B270" s="8" t="s">
        <v>1054</v>
      </c>
      <c r="C270" s="7" t="s">
        <v>1032</v>
      </c>
      <c r="D270" s="7" t="s">
        <v>80</v>
      </c>
      <c r="E270" s="8" t="s">
        <v>1055</v>
      </c>
      <c r="F270" s="8" t="s">
        <v>1056</v>
      </c>
      <c r="G270" s="7" t="s">
        <v>83</v>
      </c>
      <c r="H270" s="8"/>
      <c r="I270" s="9" t="s">
        <v>30</v>
      </c>
      <c r="J270" s="10"/>
      <c r="K270" s="9"/>
      <c r="L270" s="11"/>
    </row>
    <row r="271" customFormat="false" ht="35.05" hidden="false" customHeight="false" outlineLevel="0" collapsed="false">
      <c r="A271" s="7" t="s">
        <v>1057</v>
      </c>
      <c r="B271" s="8" t="s">
        <v>1058</v>
      </c>
      <c r="C271" s="7" t="s">
        <v>1032</v>
      </c>
      <c r="D271" s="7" t="s">
        <v>80</v>
      </c>
      <c r="E271" s="8" t="s">
        <v>1059</v>
      </c>
      <c r="F271" s="8" t="s">
        <v>1060</v>
      </c>
      <c r="G271" s="7" t="s">
        <v>83</v>
      </c>
      <c r="H271" s="8"/>
      <c r="I271" s="9" t="s">
        <v>30</v>
      </c>
      <c r="J271" s="10"/>
      <c r="K271" s="9"/>
      <c r="L271" s="11"/>
    </row>
    <row r="272" customFormat="false" ht="35.05" hidden="false" customHeight="false" outlineLevel="0" collapsed="false">
      <c r="A272" s="7" t="s">
        <v>1061</v>
      </c>
      <c r="B272" s="8" t="s">
        <v>1062</v>
      </c>
      <c r="C272" s="7" t="s">
        <v>1032</v>
      </c>
      <c r="D272" s="7" t="s">
        <v>80</v>
      </c>
      <c r="E272" s="8" t="s">
        <v>1063</v>
      </c>
      <c r="F272" s="8" t="s">
        <v>1064</v>
      </c>
      <c r="G272" s="7" t="s">
        <v>83</v>
      </c>
      <c r="H272" s="8"/>
      <c r="I272" s="9" t="s">
        <v>30</v>
      </c>
      <c r="J272" s="10"/>
      <c r="K272" s="9"/>
      <c r="L272" s="11"/>
    </row>
    <row r="273" customFormat="false" ht="23.85" hidden="false" customHeight="false" outlineLevel="0" collapsed="false">
      <c r="A273" s="7" t="s">
        <v>1065</v>
      </c>
      <c r="B273" s="8" t="s">
        <v>1066</v>
      </c>
      <c r="C273" s="7" t="s">
        <v>1067</v>
      </c>
      <c r="D273" s="7" t="s">
        <v>27</v>
      </c>
      <c r="E273" s="8" t="s">
        <v>1068</v>
      </c>
      <c r="F273" s="8"/>
      <c r="G273" s="7" t="s">
        <v>29</v>
      </c>
      <c r="H273" s="8"/>
      <c r="I273" s="9" t="s">
        <v>30</v>
      </c>
      <c r="J273" s="10"/>
      <c r="K273" s="9"/>
      <c r="L273" s="11"/>
    </row>
    <row r="274" customFormat="false" ht="23.85" hidden="false" customHeight="false" outlineLevel="0" collapsed="false">
      <c r="A274" s="7" t="s">
        <v>1069</v>
      </c>
      <c r="B274" s="8" t="s">
        <v>1070</v>
      </c>
      <c r="C274" s="7" t="s">
        <v>1067</v>
      </c>
      <c r="D274" s="7" t="s">
        <v>33</v>
      </c>
      <c r="E274" s="8" t="s">
        <v>1071</v>
      </c>
      <c r="F274" s="8" t="s">
        <v>1072</v>
      </c>
      <c r="G274" s="7" t="s">
        <v>29</v>
      </c>
      <c r="H274" s="8"/>
      <c r="I274" s="9" t="s">
        <v>30</v>
      </c>
      <c r="J274" s="10"/>
      <c r="K274" s="9"/>
      <c r="L274" s="11"/>
    </row>
    <row r="275" customFormat="false" ht="23.85" hidden="false" customHeight="false" outlineLevel="0" collapsed="false">
      <c r="A275" s="7" t="s">
        <v>1073</v>
      </c>
      <c r="B275" s="8" t="s">
        <v>1074</v>
      </c>
      <c r="C275" s="7" t="s">
        <v>1067</v>
      </c>
      <c r="D275" s="7" t="s">
        <v>33</v>
      </c>
      <c r="E275" s="8" t="s">
        <v>1075</v>
      </c>
      <c r="F275" s="8"/>
      <c r="G275" s="7" t="s">
        <v>29</v>
      </c>
      <c r="H275" s="8"/>
      <c r="I275" s="9" t="s">
        <v>30</v>
      </c>
      <c r="J275" s="10"/>
      <c r="K275" s="9"/>
      <c r="L275" s="11"/>
    </row>
    <row r="276" customFormat="false" ht="23.85" hidden="false" customHeight="false" outlineLevel="0" collapsed="false">
      <c r="A276" s="7" t="s">
        <v>1076</v>
      </c>
      <c r="B276" s="8" t="s">
        <v>1077</v>
      </c>
      <c r="C276" s="7" t="s">
        <v>1067</v>
      </c>
      <c r="D276" s="7" t="s">
        <v>33</v>
      </c>
      <c r="E276" s="8" t="s">
        <v>1078</v>
      </c>
      <c r="F276" s="8" t="s">
        <v>1079</v>
      </c>
      <c r="G276" s="7" t="s">
        <v>29</v>
      </c>
      <c r="H276" s="8"/>
      <c r="I276" s="9" t="s">
        <v>30</v>
      </c>
      <c r="J276" s="10"/>
      <c r="K276" s="9"/>
      <c r="L276" s="11"/>
    </row>
    <row r="277" customFormat="false" ht="23.85" hidden="false" customHeight="false" outlineLevel="0" collapsed="false">
      <c r="A277" s="7" t="s">
        <v>1080</v>
      </c>
      <c r="B277" s="8" t="s">
        <v>1081</v>
      </c>
      <c r="C277" s="7" t="s">
        <v>1067</v>
      </c>
      <c r="D277" s="7" t="s">
        <v>33</v>
      </c>
      <c r="E277" s="8" t="s">
        <v>1082</v>
      </c>
      <c r="F277" s="8" t="s">
        <v>1083</v>
      </c>
      <c r="G277" s="7" t="s">
        <v>29</v>
      </c>
      <c r="H277" s="8"/>
      <c r="I277" s="9" t="s">
        <v>30</v>
      </c>
      <c r="J277" s="10"/>
      <c r="K277" s="9"/>
      <c r="L277" s="11"/>
    </row>
    <row r="278" customFormat="false" ht="23.85" hidden="false" customHeight="false" outlineLevel="0" collapsed="false">
      <c r="A278" s="7" t="s">
        <v>1084</v>
      </c>
      <c r="B278" s="8" t="s">
        <v>1085</v>
      </c>
      <c r="C278" s="7" t="s">
        <v>1067</v>
      </c>
      <c r="D278" s="7" t="s">
        <v>33</v>
      </c>
      <c r="E278" s="8" t="s">
        <v>1086</v>
      </c>
      <c r="F278" s="8" t="s">
        <v>786</v>
      </c>
      <c r="G278" s="7" t="s">
        <v>29</v>
      </c>
      <c r="H278" s="8"/>
      <c r="I278" s="9" t="s">
        <v>30</v>
      </c>
      <c r="J278" s="10"/>
      <c r="K278" s="9"/>
      <c r="L278" s="11"/>
    </row>
    <row r="279" customFormat="false" ht="23.85" hidden="false" customHeight="false" outlineLevel="0" collapsed="false">
      <c r="A279" s="7" t="s">
        <v>1087</v>
      </c>
      <c r="B279" s="8" t="s">
        <v>1088</v>
      </c>
      <c r="C279" s="7" t="s">
        <v>1067</v>
      </c>
      <c r="D279" s="7" t="s">
        <v>50</v>
      </c>
      <c r="E279" s="8" t="s">
        <v>1089</v>
      </c>
      <c r="F279" s="8"/>
      <c r="G279" s="7" t="s">
        <v>29</v>
      </c>
      <c r="H279" s="8"/>
      <c r="I279" s="9" t="s">
        <v>30</v>
      </c>
      <c r="J279" s="10"/>
      <c r="K279" s="9"/>
      <c r="L279" s="11"/>
    </row>
    <row r="280" customFormat="false" ht="23.85" hidden="false" customHeight="false" outlineLevel="0" collapsed="false">
      <c r="A280" s="7" t="s">
        <v>1090</v>
      </c>
      <c r="B280" s="8" t="s">
        <v>1091</v>
      </c>
      <c r="C280" s="7" t="s">
        <v>1067</v>
      </c>
      <c r="D280" s="7" t="s">
        <v>80</v>
      </c>
      <c r="E280" s="8" t="s">
        <v>1092</v>
      </c>
      <c r="F280" s="8" t="s">
        <v>1093</v>
      </c>
      <c r="G280" s="7" t="s">
        <v>83</v>
      </c>
      <c r="H280" s="8"/>
      <c r="I280" s="9" t="s">
        <v>30</v>
      </c>
      <c r="J280" s="10"/>
      <c r="K280" s="9"/>
      <c r="L280" s="11"/>
    </row>
    <row r="281" customFormat="false" ht="46.25" hidden="false" customHeight="false" outlineLevel="0" collapsed="false">
      <c r="A281" s="7" t="s">
        <v>1094</v>
      </c>
      <c r="B281" s="8" t="s">
        <v>1095</v>
      </c>
      <c r="C281" s="7" t="s">
        <v>1067</v>
      </c>
      <c r="D281" s="7" t="s">
        <v>80</v>
      </c>
      <c r="E281" s="8" t="s">
        <v>1096</v>
      </c>
      <c r="F281" s="8" t="s">
        <v>1097</v>
      </c>
      <c r="G281" s="7" t="s">
        <v>83</v>
      </c>
      <c r="H281" s="8"/>
      <c r="I281" s="9" t="s">
        <v>30</v>
      </c>
      <c r="J281" s="10"/>
      <c r="K281" s="9"/>
      <c r="L281" s="11"/>
    </row>
    <row r="282" customFormat="false" ht="46.25" hidden="false" customHeight="false" outlineLevel="0" collapsed="false">
      <c r="A282" s="7" t="s">
        <v>1098</v>
      </c>
      <c r="B282" s="8" t="s">
        <v>1099</v>
      </c>
      <c r="C282" s="7" t="s">
        <v>1067</v>
      </c>
      <c r="D282" s="7" t="s">
        <v>80</v>
      </c>
      <c r="E282" s="8" t="s">
        <v>1100</v>
      </c>
      <c r="F282" s="8" t="s">
        <v>1101</v>
      </c>
      <c r="G282" s="7" t="s">
        <v>83</v>
      </c>
      <c r="H282" s="8"/>
      <c r="I282" s="9" t="s">
        <v>30</v>
      </c>
      <c r="J282" s="10"/>
      <c r="K282" s="9"/>
      <c r="L282" s="11"/>
    </row>
    <row r="283" customFormat="false" ht="15" hidden="false" customHeight="false" outlineLevel="0" collapsed="false">
      <c r="A283" s="7" t="s">
        <v>1102</v>
      </c>
      <c r="B283" s="8" t="s">
        <v>1103</v>
      </c>
      <c r="C283" s="7" t="s">
        <v>1104</v>
      </c>
      <c r="D283" s="7" t="s">
        <v>27</v>
      </c>
      <c r="E283" s="8" t="s">
        <v>1105</v>
      </c>
      <c r="F283" s="8"/>
      <c r="G283" s="7" t="s">
        <v>29</v>
      </c>
      <c r="H283" s="8"/>
      <c r="I283" s="9" t="s">
        <v>30</v>
      </c>
      <c r="J283" s="10"/>
      <c r="K283" s="9"/>
      <c r="L283" s="11"/>
    </row>
    <row r="284" customFormat="false" ht="15" hidden="false" customHeight="false" outlineLevel="0" collapsed="false">
      <c r="A284" s="7" t="s">
        <v>1106</v>
      </c>
      <c r="B284" s="8" t="s">
        <v>1107</v>
      </c>
      <c r="C284" s="7" t="s">
        <v>1104</v>
      </c>
      <c r="D284" s="7" t="s">
        <v>33</v>
      </c>
      <c r="E284" s="8" t="s">
        <v>1108</v>
      </c>
      <c r="F284" s="8" t="s">
        <v>1109</v>
      </c>
      <c r="G284" s="7" t="s">
        <v>29</v>
      </c>
      <c r="H284" s="8"/>
      <c r="I284" s="9" t="s">
        <v>30</v>
      </c>
      <c r="J284" s="10"/>
      <c r="K284" s="9"/>
      <c r="L284" s="11"/>
    </row>
    <row r="285" customFormat="false" ht="15" hidden="false" customHeight="false" outlineLevel="0" collapsed="false">
      <c r="A285" s="7" t="s">
        <v>1110</v>
      </c>
      <c r="B285" s="8" t="s">
        <v>1111</v>
      </c>
      <c r="C285" s="7" t="s">
        <v>1104</v>
      </c>
      <c r="D285" s="7" t="s">
        <v>33</v>
      </c>
      <c r="E285" s="8" t="s">
        <v>1112</v>
      </c>
      <c r="F285" s="8" t="s">
        <v>1113</v>
      </c>
      <c r="G285" s="7" t="s">
        <v>29</v>
      </c>
      <c r="H285" s="8"/>
      <c r="I285" s="9" t="s">
        <v>30</v>
      </c>
      <c r="J285" s="10"/>
      <c r="K285" s="9"/>
      <c r="L285" s="11"/>
    </row>
    <row r="286" customFormat="false" ht="23.85" hidden="false" customHeight="false" outlineLevel="0" collapsed="false">
      <c r="A286" s="7" t="s">
        <v>1114</v>
      </c>
      <c r="B286" s="8" t="s">
        <v>1115</v>
      </c>
      <c r="C286" s="7" t="s">
        <v>1104</v>
      </c>
      <c r="D286" s="7" t="s">
        <v>33</v>
      </c>
      <c r="E286" s="8" t="s">
        <v>1116</v>
      </c>
      <c r="F286" s="8" t="s">
        <v>1117</v>
      </c>
      <c r="G286" s="7" t="s">
        <v>29</v>
      </c>
      <c r="H286" s="8"/>
      <c r="I286" s="9" t="s">
        <v>30</v>
      </c>
      <c r="J286" s="10"/>
      <c r="K286" s="9"/>
      <c r="L286" s="11"/>
    </row>
    <row r="287" customFormat="false" ht="15" hidden="false" customHeight="false" outlineLevel="0" collapsed="false">
      <c r="A287" s="7" t="s">
        <v>1118</v>
      </c>
      <c r="B287" s="8" t="s">
        <v>1119</v>
      </c>
      <c r="C287" s="7" t="s">
        <v>1104</v>
      </c>
      <c r="D287" s="7" t="s">
        <v>33</v>
      </c>
      <c r="E287" s="8" t="s">
        <v>1120</v>
      </c>
      <c r="F287" s="8" t="s">
        <v>1121</v>
      </c>
      <c r="G287" s="7" t="s">
        <v>29</v>
      </c>
      <c r="H287" s="8"/>
      <c r="I287" s="9" t="s">
        <v>30</v>
      </c>
      <c r="J287" s="10"/>
      <c r="K287" s="9"/>
      <c r="L287" s="11"/>
    </row>
    <row r="288" customFormat="false" ht="23.85" hidden="false" customHeight="false" outlineLevel="0" collapsed="false">
      <c r="A288" s="7" t="s">
        <v>1122</v>
      </c>
      <c r="B288" s="8" t="s">
        <v>1123</v>
      </c>
      <c r="C288" s="7" t="s">
        <v>1104</v>
      </c>
      <c r="D288" s="7" t="s">
        <v>50</v>
      </c>
      <c r="E288" s="8" t="s">
        <v>1124</v>
      </c>
      <c r="F288" s="8"/>
      <c r="G288" s="7" t="s">
        <v>29</v>
      </c>
      <c r="H288" s="8"/>
      <c r="I288" s="9" t="s">
        <v>30</v>
      </c>
      <c r="J288" s="10"/>
      <c r="K288" s="9"/>
      <c r="L288" s="11"/>
    </row>
    <row r="289" customFormat="false" ht="23.85" hidden="false" customHeight="false" outlineLevel="0" collapsed="false">
      <c r="A289" s="7" t="s">
        <v>1125</v>
      </c>
      <c r="B289" s="8" t="s">
        <v>1126</v>
      </c>
      <c r="C289" s="7" t="s">
        <v>1104</v>
      </c>
      <c r="D289" s="7" t="s">
        <v>80</v>
      </c>
      <c r="E289" s="8" t="s">
        <v>1127</v>
      </c>
      <c r="F289" s="8" t="s">
        <v>1128</v>
      </c>
      <c r="G289" s="7" t="s">
        <v>83</v>
      </c>
      <c r="H289" s="8"/>
      <c r="I289" s="9" t="s">
        <v>30</v>
      </c>
      <c r="J289" s="10"/>
      <c r="K289" s="9"/>
      <c r="L289" s="11"/>
    </row>
    <row r="290" customFormat="false" ht="23.85" hidden="false" customHeight="false" outlineLevel="0" collapsed="false">
      <c r="A290" s="7" t="s">
        <v>1129</v>
      </c>
      <c r="B290" s="8" t="s">
        <v>1130</v>
      </c>
      <c r="C290" s="7" t="s">
        <v>1104</v>
      </c>
      <c r="D290" s="7" t="s">
        <v>80</v>
      </c>
      <c r="E290" s="8" t="s">
        <v>1131</v>
      </c>
      <c r="F290" s="8" t="s">
        <v>1132</v>
      </c>
      <c r="G290" s="7" t="s">
        <v>83</v>
      </c>
      <c r="H290" s="8"/>
      <c r="I290" s="9" t="s">
        <v>30</v>
      </c>
      <c r="J290" s="10"/>
      <c r="K290" s="9"/>
      <c r="L290" s="11"/>
    </row>
    <row r="291" customFormat="false" ht="46.25" hidden="false" customHeight="false" outlineLevel="0" collapsed="false">
      <c r="A291" s="7" t="s">
        <v>1133</v>
      </c>
      <c r="B291" s="8" t="s">
        <v>1134</v>
      </c>
      <c r="C291" s="7" t="s">
        <v>1104</v>
      </c>
      <c r="D291" s="7" t="s">
        <v>80</v>
      </c>
      <c r="E291" s="8" t="s">
        <v>1135</v>
      </c>
      <c r="F291" s="8" t="s">
        <v>1136</v>
      </c>
      <c r="G291" s="7" t="s">
        <v>83</v>
      </c>
      <c r="H291" s="8"/>
      <c r="I291" s="9" t="s">
        <v>30</v>
      </c>
      <c r="J291" s="10"/>
      <c r="K291" s="9"/>
      <c r="L291" s="11"/>
    </row>
    <row r="292" customFormat="false" ht="23.85" hidden="false" customHeight="false" outlineLevel="0" collapsed="false">
      <c r="A292" s="7" t="s">
        <v>1137</v>
      </c>
      <c r="B292" s="8" t="s">
        <v>1138</v>
      </c>
      <c r="C292" s="7" t="s">
        <v>1139</v>
      </c>
      <c r="D292" s="7" t="s">
        <v>27</v>
      </c>
      <c r="E292" s="8" t="s">
        <v>1140</v>
      </c>
      <c r="F292" s="8"/>
      <c r="G292" s="7" t="s">
        <v>29</v>
      </c>
      <c r="H292" s="8"/>
      <c r="I292" s="9" t="s">
        <v>30</v>
      </c>
      <c r="J292" s="10"/>
      <c r="K292" s="9"/>
      <c r="L292" s="11"/>
    </row>
    <row r="293" customFormat="false" ht="23.85" hidden="false" customHeight="false" outlineLevel="0" collapsed="false">
      <c r="A293" s="7" t="s">
        <v>1141</v>
      </c>
      <c r="B293" s="8" t="s">
        <v>1142</v>
      </c>
      <c r="C293" s="7" t="s">
        <v>1139</v>
      </c>
      <c r="D293" s="7" t="s">
        <v>33</v>
      </c>
      <c r="E293" s="8" t="s">
        <v>1143</v>
      </c>
      <c r="F293" s="8" t="s">
        <v>1144</v>
      </c>
      <c r="G293" s="7" t="s">
        <v>29</v>
      </c>
      <c r="H293" s="8"/>
      <c r="I293" s="9" t="s">
        <v>30</v>
      </c>
      <c r="J293" s="10"/>
      <c r="K293" s="9"/>
      <c r="L293" s="11"/>
    </row>
    <row r="294" customFormat="false" ht="23.85" hidden="false" customHeight="false" outlineLevel="0" collapsed="false">
      <c r="A294" s="7" t="s">
        <v>1145</v>
      </c>
      <c r="B294" s="8" t="s">
        <v>1146</v>
      </c>
      <c r="C294" s="7" t="s">
        <v>1139</v>
      </c>
      <c r="D294" s="7" t="s">
        <v>33</v>
      </c>
      <c r="E294" s="8" t="s">
        <v>1147</v>
      </c>
      <c r="F294" s="8" t="s">
        <v>1148</v>
      </c>
      <c r="G294" s="7" t="s">
        <v>29</v>
      </c>
      <c r="H294" s="8"/>
      <c r="I294" s="9" t="s">
        <v>30</v>
      </c>
      <c r="J294" s="10"/>
      <c r="K294" s="9"/>
      <c r="L294" s="11"/>
    </row>
    <row r="295" customFormat="false" ht="23.85" hidden="false" customHeight="false" outlineLevel="0" collapsed="false">
      <c r="A295" s="7" t="s">
        <v>1149</v>
      </c>
      <c r="B295" s="8" t="s">
        <v>1150</v>
      </c>
      <c r="C295" s="7" t="s">
        <v>1139</v>
      </c>
      <c r="D295" s="7" t="s">
        <v>33</v>
      </c>
      <c r="E295" s="8" t="s">
        <v>1151</v>
      </c>
      <c r="F295" s="8" t="s">
        <v>1152</v>
      </c>
      <c r="G295" s="7" t="s">
        <v>29</v>
      </c>
      <c r="H295" s="8"/>
      <c r="I295" s="9" t="s">
        <v>30</v>
      </c>
      <c r="J295" s="10"/>
      <c r="K295" s="9"/>
      <c r="L295" s="11"/>
    </row>
    <row r="296" customFormat="false" ht="23.85" hidden="false" customHeight="false" outlineLevel="0" collapsed="false">
      <c r="A296" s="7" t="s">
        <v>1153</v>
      </c>
      <c r="B296" s="8" t="s">
        <v>1154</v>
      </c>
      <c r="C296" s="7" t="s">
        <v>1139</v>
      </c>
      <c r="D296" s="7" t="s">
        <v>33</v>
      </c>
      <c r="E296" s="8" t="s">
        <v>1155</v>
      </c>
      <c r="F296" s="8"/>
      <c r="G296" s="7" t="s">
        <v>29</v>
      </c>
      <c r="H296" s="8"/>
      <c r="I296" s="9" t="s">
        <v>30</v>
      </c>
      <c r="J296" s="10"/>
      <c r="K296" s="9"/>
      <c r="L296" s="11"/>
    </row>
    <row r="297" customFormat="false" ht="35.05" hidden="false" customHeight="false" outlineLevel="0" collapsed="false">
      <c r="A297" s="7" t="s">
        <v>1156</v>
      </c>
      <c r="B297" s="8" t="s">
        <v>1157</v>
      </c>
      <c r="C297" s="7" t="s">
        <v>1139</v>
      </c>
      <c r="D297" s="7" t="s">
        <v>33</v>
      </c>
      <c r="E297" s="8" t="s">
        <v>1158</v>
      </c>
      <c r="F297" s="8" t="s">
        <v>1159</v>
      </c>
      <c r="G297" s="7" t="s">
        <v>29</v>
      </c>
      <c r="H297" s="8"/>
      <c r="I297" s="9" t="s">
        <v>30</v>
      </c>
      <c r="J297" s="10"/>
      <c r="K297" s="9"/>
      <c r="L297" s="11"/>
    </row>
    <row r="298" customFormat="false" ht="23.85" hidden="false" customHeight="false" outlineLevel="0" collapsed="false">
      <c r="A298" s="7" t="s">
        <v>1160</v>
      </c>
      <c r="B298" s="8" t="s">
        <v>1161</v>
      </c>
      <c r="C298" s="7" t="s">
        <v>1139</v>
      </c>
      <c r="D298" s="7" t="s">
        <v>50</v>
      </c>
      <c r="E298" s="8" t="s">
        <v>1162</v>
      </c>
      <c r="F298" s="8"/>
      <c r="G298" s="7" t="s">
        <v>29</v>
      </c>
      <c r="H298" s="8"/>
      <c r="I298" s="9" t="s">
        <v>30</v>
      </c>
      <c r="J298" s="10"/>
      <c r="K298" s="9"/>
      <c r="L298" s="11"/>
    </row>
    <row r="299" customFormat="false" ht="15" hidden="false" customHeight="false" outlineLevel="0" collapsed="false">
      <c r="A299" s="7" t="s">
        <v>1163</v>
      </c>
      <c r="B299" s="8" t="s">
        <v>1164</v>
      </c>
      <c r="C299" s="7" t="s">
        <v>1139</v>
      </c>
      <c r="D299" s="7" t="s">
        <v>80</v>
      </c>
      <c r="E299" s="8" t="s">
        <v>1165</v>
      </c>
      <c r="F299" s="8" t="s">
        <v>1166</v>
      </c>
      <c r="G299" s="7" t="s">
        <v>83</v>
      </c>
      <c r="H299" s="8"/>
      <c r="I299" s="9" t="s">
        <v>30</v>
      </c>
      <c r="J299" s="10"/>
      <c r="K299" s="9"/>
      <c r="L299" s="11"/>
    </row>
    <row r="300" customFormat="false" ht="23.85" hidden="false" customHeight="false" outlineLevel="0" collapsed="false">
      <c r="A300" s="7" t="s">
        <v>1167</v>
      </c>
      <c r="B300" s="8" t="s">
        <v>1168</v>
      </c>
      <c r="C300" s="7" t="s">
        <v>1139</v>
      </c>
      <c r="D300" s="7" t="s">
        <v>80</v>
      </c>
      <c r="E300" s="8" t="s">
        <v>1169</v>
      </c>
      <c r="F300" s="8" t="s">
        <v>1170</v>
      </c>
      <c r="G300" s="7" t="s">
        <v>83</v>
      </c>
      <c r="H300" s="8"/>
      <c r="I300" s="9" t="s">
        <v>30</v>
      </c>
      <c r="J300" s="10"/>
      <c r="K300" s="9"/>
      <c r="L300" s="11"/>
    </row>
    <row r="301" customFormat="false" ht="23.85" hidden="false" customHeight="false" outlineLevel="0" collapsed="false">
      <c r="A301" s="7" t="s">
        <v>1171</v>
      </c>
      <c r="B301" s="8" t="s">
        <v>1172</v>
      </c>
      <c r="C301" s="7" t="s">
        <v>1139</v>
      </c>
      <c r="D301" s="7" t="s">
        <v>80</v>
      </c>
      <c r="E301" s="8" t="s">
        <v>1173</v>
      </c>
      <c r="F301" s="8" t="s">
        <v>1174</v>
      </c>
      <c r="G301" s="7" t="s">
        <v>83</v>
      </c>
      <c r="H301" s="8"/>
      <c r="I301" s="9" t="s">
        <v>30</v>
      </c>
      <c r="J301" s="10"/>
      <c r="K301" s="9"/>
      <c r="L301" s="11"/>
    </row>
    <row r="302" customFormat="false" ht="23.85" hidden="false" customHeight="false" outlineLevel="0" collapsed="false">
      <c r="A302" s="7" t="s">
        <v>1175</v>
      </c>
      <c r="B302" s="8" t="s">
        <v>1176</v>
      </c>
      <c r="C302" s="7" t="s">
        <v>1177</v>
      </c>
      <c r="D302" s="7" t="s">
        <v>27</v>
      </c>
      <c r="E302" s="8" t="s">
        <v>1178</v>
      </c>
      <c r="F302" s="8"/>
      <c r="G302" s="7" t="s">
        <v>29</v>
      </c>
      <c r="H302" s="8"/>
      <c r="I302" s="9" t="s">
        <v>30</v>
      </c>
      <c r="J302" s="10"/>
      <c r="K302" s="9"/>
      <c r="L302" s="11"/>
    </row>
    <row r="303" customFormat="false" ht="23.85" hidden="false" customHeight="false" outlineLevel="0" collapsed="false">
      <c r="A303" s="7" t="s">
        <v>1179</v>
      </c>
      <c r="B303" s="8" t="s">
        <v>1180</v>
      </c>
      <c r="C303" s="7" t="s">
        <v>1177</v>
      </c>
      <c r="D303" s="7" t="s">
        <v>33</v>
      </c>
      <c r="E303" s="8" t="s">
        <v>1181</v>
      </c>
      <c r="F303" s="8" t="s">
        <v>1182</v>
      </c>
      <c r="G303" s="7" t="s">
        <v>29</v>
      </c>
      <c r="H303" s="8"/>
      <c r="I303" s="9" t="s">
        <v>30</v>
      </c>
      <c r="J303" s="10"/>
      <c r="K303" s="9"/>
      <c r="L303" s="11"/>
    </row>
    <row r="304" customFormat="false" ht="23.85" hidden="false" customHeight="false" outlineLevel="0" collapsed="false">
      <c r="A304" s="7" t="s">
        <v>1183</v>
      </c>
      <c r="B304" s="8" t="s">
        <v>1184</v>
      </c>
      <c r="C304" s="7" t="s">
        <v>1177</v>
      </c>
      <c r="D304" s="7" t="s">
        <v>33</v>
      </c>
      <c r="E304" s="8" t="s">
        <v>1185</v>
      </c>
      <c r="F304" s="8" t="s">
        <v>1186</v>
      </c>
      <c r="G304" s="7" t="s">
        <v>29</v>
      </c>
      <c r="H304" s="8"/>
      <c r="I304" s="9" t="s">
        <v>30</v>
      </c>
      <c r="J304" s="10"/>
      <c r="K304" s="9"/>
      <c r="L304" s="11"/>
    </row>
    <row r="305" customFormat="false" ht="23.85" hidden="false" customHeight="false" outlineLevel="0" collapsed="false">
      <c r="A305" s="7" t="s">
        <v>1187</v>
      </c>
      <c r="B305" s="8" t="s">
        <v>1188</v>
      </c>
      <c r="C305" s="7" t="s">
        <v>1177</v>
      </c>
      <c r="D305" s="7" t="s">
        <v>33</v>
      </c>
      <c r="E305" s="8" t="s">
        <v>1189</v>
      </c>
      <c r="F305" s="8" t="s">
        <v>1190</v>
      </c>
      <c r="G305" s="7" t="s">
        <v>29</v>
      </c>
      <c r="H305" s="8"/>
      <c r="I305" s="9" t="s">
        <v>30</v>
      </c>
      <c r="J305" s="10"/>
      <c r="K305" s="9"/>
      <c r="L305" s="11"/>
    </row>
    <row r="306" customFormat="false" ht="15" hidden="false" customHeight="false" outlineLevel="0" collapsed="false">
      <c r="A306" s="7" t="s">
        <v>1191</v>
      </c>
      <c r="B306" s="8" t="s">
        <v>1192</v>
      </c>
      <c r="C306" s="7" t="s">
        <v>1177</v>
      </c>
      <c r="D306" s="7" t="s">
        <v>33</v>
      </c>
      <c r="E306" s="8" t="s">
        <v>1193</v>
      </c>
      <c r="F306" s="8" t="s">
        <v>1194</v>
      </c>
      <c r="G306" s="7" t="s">
        <v>29</v>
      </c>
      <c r="H306" s="8"/>
      <c r="I306" s="9" t="s">
        <v>30</v>
      </c>
      <c r="J306" s="10"/>
      <c r="K306" s="9"/>
      <c r="L306" s="11"/>
    </row>
    <row r="307" customFormat="false" ht="23.85" hidden="false" customHeight="false" outlineLevel="0" collapsed="false">
      <c r="A307" s="7" t="s">
        <v>1195</v>
      </c>
      <c r="B307" s="8" t="s">
        <v>1196</v>
      </c>
      <c r="C307" s="7" t="s">
        <v>1177</v>
      </c>
      <c r="D307" s="7" t="s">
        <v>50</v>
      </c>
      <c r="E307" s="8" t="s">
        <v>1197</v>
      </c>
      <c r="F307" s="8"/>
      <c r="G307" s="7" t="s">
        <v>29</v>
      </c>
      <c r="H307" s="8"/>
      <c r="I307" s="9" t="s">
        <v>30</v>
      </c>
      <c r="J307" s="10"/>
      <c r="K307" s="9"/>
      <c r="L307" s="11"/>
    </row>
    <row r="308" customFormat="false" ht="23.85" hidden="false" customHeight="false" outlineLevel="0" collapsed="false">
      <c r="A308" s="7" t="s">
        <v>1198</v>
      </c>
      <c r="B308" s="8" t="s">
        <v>1199</v>
      </c>
      <c r="C308" s="7" t="s">
        <v>1177</v>
      </c>
      <c r="D308" s="7" t="s">
        <v>80</v>
      </c>
      <c r="E308" s="8" t="s">
        <v>1200</v>
      </c>
      <c r="F308" s="8" t="s">
        <v>1201</v>
      </c>
      <c r="G308" s="7" t="s">
        <v>83</v>
      </c>
      <c r="H308" s="8"/>
      <c r="I308" s="9" t="s">
        <v>30</v>
      </c>
      <c r="J308" s="10"/>
      <c r="K308" s="9"/>
      <c r="L308" s="11"/>
    </row>
    <row r="309" customFormat="false" ht="23.85" hidden="false" customHeight="false" outlineLevel="0" collapsed="false">
      <c r="A309" s="7" t="s">
        <v>1202</v>
      </c>
      <c r="B309" s="8" t="s">
        <v>1203</v>
      </c>
      <c r="C309" s="7" t="s">
        <v>1177</v>
      </c>
      <c r="D309" s="7" t="s">
        <v>80</v>
      </c>
      <c r="E309" s="8" t="s">
        <v>1204</v>
      </c>
      <c r="F309" s="8" t="s">
        <v>1205</v>
      </c>
      <c r="G309" s="7" t="s">
        <v>83</v>
      </c>
      <c r="H309" s="8"/>
      <c r="I309" s="9" t="s">
        <v>30</v>
      </c>
      <c r="J309" s="10"/>
      <c r="K309" s="9"/>
      <c r="L309" s="11"/>
    </row>
    <row r="310" customFormat="false" ht="23.85" hidden="false" customHeight="false" outlineLevel="0" collapsed="false">
      <c r="A310" s="7" t="s">
        <v>1206</v>
      </c>
      <c r="B310" s="8" t="s">
        <v>1207</v>
      </c>
      <c r="C310" s="7" t="s">
        <v>1177</v>
      </c>
      <c r="D310" s="7" t="s">
        <v>80</v>
      </c>
      <c r="E310" s="8" t="s">
        <v>1208</v>
      </c>
      <c r="F310" s="8" t="s">
        <v>1209</v>
      </c>
      <c r="G310" s="7" t="s">
        <v>83</v>
      </c>
      <c r="H310" s="8"/>
      <c r="I310" s="9" t="s">
        <v>30</v>
      </c>
      <c r="J310" s="10"/>
      <c r="K310" s="9"/>
      <c r="L310" s="11"/>
    </row>
    <row r="311" customFormat="false" ht="23.85" hidden="false" customHeight="false" outlineLevel="0" collapsed="false">
      <c r="A311" s="7" t="s">
        <v>1210</v>
      </c>
      <c r="B311" s="8" t="s">
        <v>1211</v>
      </c>
      <c r="C311" s="7" t="s">
        <v>1212</v>
      </c>
      <c r="D311" s="7" t="s">
        <v>27</v>
      </c>
      <c r="E311" s="8" t="s">
        <v>1213</v>
      </c>
      <c r="F311" s="8"/>
      <c r="G311" s="7" t="s">
        <v>29</v>
      </c>
      <c r="H311" s="8"/>
      <c r="I311" s="9" t="s">
        <v>30</v>
      </c>
      <c r="J311" s="10"/>
      <c r="K311" s="9"/>
      <c r="L311" s="11"/>
    </row>
    <row r="312" customFormat="false" ht="23.85" hidden="false" customHeight="false" outlineLevel="0" collapsed="false">
      <c r="A312" s="7" t="s">
        <v>1214</v>
      </c>
      <c r="B312" s="8" t="s">
        <v>1215</v>
      </c>
      <c r="C312" s="7" t="s">
        <v>1212</v>
      </c>
      <c r="D312" s="7" t="s">
        <v>33</v>
      </c>
      <c r="E312" s="8" t="s">
        <v>1216</v>
      </c>
      <c r="F312" s="8" t="s">
        <v>1217</v>
      </c>
      <c r="G312" s="7" t="s">
        <v>29</v>
      </c>
      <c r="H312" s="8"/>
      <c r="I312" s="9" t="s">
        <v>30</v>
      </c>
      <c r="J312" s="10"/>
      <c r="K312" s="9"/>
      <c r="L312" s="11"/>
    </row>
    <row r="313" customFormat="false" ht="23.85" hidden="false" customHeight="false" outlineLevel="0" collapsed="false">
      <c r="A313" s="7" t="s">
        <v>1218</v>
      </c>
      <c r="B313" s="8" t="s">
        <v>1219</v>
      </c>
      <c r="C313" s="7" t="s">
        <v>1212</v>
      </c>
      <c r="D313" s="7" t="s">
        <v>33</v>
      </c>
      <c r="E313" s="8" t="s">
        <v>1220</v>
      </c>
      <c r="F313" s="8" t="s">
        <v>1221</v>
      </c>
      <c r="G313" s="7" t="s">
        <v>29</v>
      </c>
      <c r="H313" s="8"/>
      <c r="I313" s="9" t="s">
        <v>30</v>
      </c>
      <c r="J313" s="10"/>
      <c r="K313" s="9"/>
      <c r="L313" s="11"/>
    </row>
    <row r="314" customFormat="false" ht="23.85" hidden="false" customHeight="false" outlineLevel="0" collapsed="false">
      <c r="A314" s="7" t="s">
        <v>1222</v>
      </c>
      <c r="B314" s="8" t="s">
        <v>1223</v>
      </c>
      <c r="C314" s="7" t="s">
        <v>1212</v>
      </c>
      <c r="D314" s="7" t="s">
        <v>33</v>
      </c>
      <c r="E314" s="8" t="s">
        <v>1224</v>
      </c>
      <c r="F314" s="8" t="s">
        <v>1225</v>
      </c>
      <c r="G314" s="7" t="s">
        <v>29</v>
      </c>
      <c r="H314" s="8"/>
      <c r="I314" s="9" t="s">
        <v>30</v>
      </c>
      <c r="J314" s="10"/>
      <c r="K314" s="9"/>
      <c r="L314" s="11"/>
    </row>
    <row r="315" customFormat="false" ht="23.85" hidden="false" customHeight="false" outlineLevel="0" collapsed="false">
      <c r="A315" s="7" t="s">
        <v>1226</v>
      </c>
      <c r="B315" s="8" t="s">
        <v>1227</v>
      </c>
      <c r="C315" s="7" t="s">
        <v>1212</v>
      </c>
      <c r="D315" s="7" t="s">
        <v>33</v>
      </c>
      <c r="E315" s="8" t="s">
        <v>1228</v>
      </c>
      <c r="F315" s="8" t="s">
        <v>1229</v>
      </c>
      <c r="G315" s="7" t="s">
        <v>29</v>
      </c>
      <c r="H315" s="8"/>
      <c r="I315" s="9" t="s">
        <v>30</v>
      </c>
      <c r="J315" s="10"/>
      <c r="K315" s="9"/>
      <c r="L315" s="11"/>
    </row>
    <row r="316" customFormat="false" ht="23.85" hidden="false" customHeight="false" outlineLevel="0" collapsed="false">
      <c r="A316" s="7" t="s">
        <v>1230</v>
      </c>
      <c r="B316" s="8" t="s">
        <v>1231</v>
      </c>
      <c r="C316" s="7" t="s">
        <v>1212</v>
      </c>
      <c r="D316" s="7" t="s">
        <v>50</v>
      </c>
      <c r="E316" s="8" t="s">
        <v>1232</v>
      </c>
      <c r="F316" s="8"/>
      <c r="G316" s="7" t="s">
        <v>29</v>
      </c>
      <c r="H316" s="8"/>
      <c r="I316" s="9" t="s">
        <v>30</v>
      </c>
      <c r="J316" s="10"/>
      <c r="K316" s="9"/>
      <c r="L316" s="11"/>
    </row>
    <row r="317" customFormat="false" ht="23.85" hidden="false" customHeight="false" outlineLevel="0" collapsed="false">
      <c r="A317" s="7" t="s">
        <v>1233</v>
      </c>
      <c r="B317" s="8" t="s">
        <v>1234</v>
      </c>
      <c r="C317" s="7" t="s">
        <v>1212</v>
      </c>
      <c r="D317" s="7" t="s">
        <v>80</v>
      </c>
      <c r="E317" s="8" t="s">
        <v>1235</v>
      </c>
      <c r="F317" s="8" t="s">
        <v>1236</v>
      </c>
      <c r="G317" s="7" t="s">
        <v>83</v>
      </c>
      <c r="H317" s="8"/>
      <c r="I317" s="9" t="s">
        <v>30</v>
      </c>
      <c r="J317" s="10"/>
      <c r="K317" s="9"/>
      <c r="L317" s="11"/>
    </row>
    <row r="318" customFormat="false" ht="23.85" hidden="false" customHeight="false" outlineLevel="0" collapsed="false">
      <c r="A318" s="7" t="s">
        <v>1237</v>
      </c>
      <c r="B318" s="8" t="s">
        <v>1238</v>
      </c>
      <c r="C318" s="7" t="s">
        <v>1212</v>
      </c>
      <c r="D318" s="7" t="s">
        <v>80</v>
      </c>
      <c r="E318" s="8" t="s">
        <v>1239</v>
      </c>
      <c r="F318" s="8" t="s">
        <v>1240</v>
      </c>
      <c r="G318" s="7" t="s">
        <v>83</v>
      </c>
      <c r="H318" s="8"/>
      <c r="I318" s="9" t="s">
        <v>30</v>
      </c>
      <c r="J318" s="10"/>
      <c r="K318" s="9"/>
      <c r="L318" s="11"/>
    </row>
    <row r="319" customFormat="false" ht="23.85" hidden="false" customHeight="false" outlineLevel="0" collapsed="false">
      <c r="A319" s="7" t="s">
        <v>1241</v>
      </c>
      <c r="B319" s="8" t="s">
        <v>1242</v>
      </c>
      <c r="C319" s="7" t="s">
        <v>1212</v>
      </c>
      <c r="D319" s="7" t="s">
        <v>80</v>
      </c>
      <c r="E319" s="8" t="s">
        <v>1243</v>
      </c>
      <c r="F319" s="8" t="s">
        <v>1244</v>
      </c>
      <c r="G319" s="7" t="s">
        <v>83</v>
      </c>
      <c r="H319" s="8"/>
      <c r="I319" s="9" t="s">
        <v>30</v>
      </c>
      <c r="J319" s="10"/>
      <c r="K319" s="9"/>
      <c r="L319" s="11"/>
    </row>
    <row r="320" customFormat="false" ht="23.85" hidden="false" customHeight="false" outlineLevel="0" collapsed="false">
      <c r="A320" s="7" t="s">
        <v>1245</v>
      </c>
      <c r="B320" s="8" t="s">
        <v>1246</v>
      </c>
      <c r="C320" s="7" t="s">
        <v>1247</v>
      </c>
      <c r="D320" s="7" t="s">
        <v>1248</v>
      </c>
      <c r="E320" s="8" t="s">
        <v>1249</v>
      </c>
      <c r="F320" s="8"/>
      <c r="G320" s="7" t="s">
        <v>29</v>
      </c>
      <c r="H320" s="8"/>
      <c r="I320" s="9" t="s">
        <v>30</v>
      </c>
      <c r="J320" s="10"/>
      <c r="K320" s="9"/>
      <c r="L320" s="11"/>
    </row>
    <row r="321" customFormat="false" ht="15" hidden="false" customHeight="false" outlineLevel="0" collapsed="false">
      <c r="A321" s="7" t="s">
        <v>1250</v>
      </c>
      <c r="B321" s="8" t="s">
        <v>1251</v>
      </c>
      <c r="C321" s="7" t="s">
        <v>1252</v>
      </c>
      <c r="D321" s="7" t="s">
        <v>27</v>
      </c>
      <c r="E321" s="8" t="s">
        <v>1253</v>
      </c>
      <c r="F321" s="8"/>
      <c r="G321" s="7" t="s">
        <v>29</v>
      </c>
      <c r="H321" s="8"/>
      <c r="I321" s="9" t="s">
        <v>30</v>
      </c>
      <c r="J321" s="10"/>
      <c r="K321" s="9"/>
      <c r="L321" s="11"/>
    </row>
    <row r="322" customFormat="false" ht="23.85" hidden="false" customHeight="false" outlineLevel="0" collapsed="false">
      <c r="A322" s="7" t="s">
        <v>1254</v>
      </c>
      <c r="B322" s="8" t="s">
        <v>1255</v>
      </c>
      <c r="C322" s="7" t="s">
        <v>1252</v>
      </c>
      <c r="D322" s="7" t="s">
        <v>33</v>
      </c>
      <c r="E322" s="8" t="s">
        <v>1256</v>
      </c>
      <c r="F322" s="8" t="s">
        <v>1257</v>
      </c>
      <c r="G322" s="7" t="s">
        <v>29</v>
      </c>
      <c r="H322" s="8"/>
      <c r="I322" s="9" t="s">
        <v>30</v>
      </c>
      <c r="J322" s="10"/>
      <c r="K322" s="9"/>
      <c r="L322" s="11"/>
    </row>
    <row r="323" customFormat="false" ht="23.85" hidden="false" customHeight="false" outlineLevel="0" collapsed="false">
      <c r="A323" s="7" t="s">
        <v>1258</v>
      </c>
      <c r="B323" s="8" t="s">
        <v>1259</v>
      </c>
      <c r="C323" s="7" t="s">
        <v>1252</v>
      </c>
      <c r="D323" s="7" t="s">
        <v>33</v>
      </c>
      <c r="E323" s="8" t="s">
        <v>1260</v>
      </c>
      <c r="F323" s="8" t="s">
        <v>1261</v>
      </c>
      <c r="G323" s="7" t="s">
        <v>29</v>
      </c>
      <c r="H323" s="8"/>
      <c r="I323" s="9" t="s">
        <v>30</v>
      </c>
      <c r="J323" s="10"/>
      <c r="K323" s="9"/>
      <c r="L323" s="11"/>
    </row>
    <row r="324" customFormat="false" ht="23.85" hidden="false" customHeight="false" outlineLevel="0" collapsed="false">
      <c r="A324" s="7" t="s">
        <v>1262</v>
      </c>
      <c r="B324" s="8" t="s">
        <v>1263</v>
      </c>
      <c r="C324" s="7" t="s">
        <v>1252</v>
      </c>
      <c r="D324" s="7" t="s">
        <v>33</v>
      </c>
      <c r="E324" s="8" t="s">
        <v>1264</v>
      </c>
      <c r="F324" s="8" t="s">
        <v>1265</v>
      </c>
      <c r="G324" s="7" t="s">
        <v>29</v>
      </c>
      <c r="H324" s="8"/>
      <c r="I324" s="9" t="s">
        <v>30</v>
      </c>
      <c r="J324" s="10"/>
      <c r="K324" s="9"/>
      <c r="L324" s="11"/>
    </row>
    <row r="325" customFormat="false" ht="23.85" hidden="false" customHeight="false" outlineLevel="0" collapsed="false">
      <c r="A325" s="7" t="s">
        <v>1266</v>
      </c>
      <c r="B325" s="8" t="s">
        <v>1267</v>
      </c>
      <c r="C325" s="7" t="s">
        <v>1252</v>
      </c>
      <c r="D325" s="7" t="s">
        <v>33</v>
      </c>
      <c r="E325" s="8" t="s">
        <v>1268</v>
      </c>
      <c r="F325" s="8"/>
      <c r="G325" s="7" t="s">
        <v>29</v>
      </c>
      <c r="H325" s="8"/>
      <c r="I325" s="9" t="s">
        <v>30</v>
      </c>
      <c r="J325" s="10"/>
      <c r="K325" s="9"/>
      <c r="L325" s="11"/>
    </row>
    <row r="326" customFormat="false" ht="23.85" hidden="false" customHeight="false" outlineLevel="0" collapsed="false">
      <c r="A326" s="7" t="s">
        <v>1269</v>
      </c>
      <c r="B326" s="8" t="s">
        <v>1270</v>
      </c>
      <c r="C326" s="7" t="s">
        <v>1252</v>
      </c>
      <c r="D326" s="7" t="s">
        <v>50</v>
      </c>
      <c r="E326" s="8" t="s">
        <v>1271</v>
      </c>
      <c r="F326" s="8"/>
      <c r="G326" s="7" t="s">
        <v>29</v>
      </c>
      <c r="H326" s="8"/>
      <c r="I326" s="9" t="s">
        <v>30</v>
      </c>
      <c r="J326" s="10"/>
      <c r="K326" s="9"/>
      <c r="L326" s="11"/>
    </row>
    <row r="327" customFormat="false" ht="35.05" hidden="false" customHeight="false" outlineLevel="0" collapsed="false">
      <c r="A327" s="7" t="s">
        <v>1272</v>
      </c>
      <c r="B327" s="8" t="s">
        <v>1273</v>
      </c>
      <c r="C327" s="7" t="s">
        <v>1252</v>
      </c>
      <c r="D327" s="7" t="s">
        <v>80</v>
      </c>
      <c r="E327" s="8" t="s">
        <v>1274</v>
      </c>
      <c r="F327" s="8" t="s">
        <v>1275</v>
      </c>
      <c r="G327" s="7" t="s">
        <v>83</v>
      </c>
      <c r="H327" s="8"/>
      <c r="I327" s="9" t="s">
        <v>30</v>
      </c>
      <c r="J327" s="10"/>
      <c r="K327" s="9"/>
      <c r="L327" s="11"/>
    </row>
    <row r="328" customFormat="false" ht="35.05" hidden="false" customHeight="false" outlineLevel="0" collapsed="false">
      <c r="A328" s="7" t="s">
        <v>1276</v>
      </c>
      <c r="B328" s="8" t="s">
        <v>1277</v>
      </c>
      <c r="C328" s="7" t="s">
        <v>1252</v>
      </c>
      <c r="D328" s="7" t="s">
        <v>80</v>
      </c>
      <c r="E328" s="8" t="s">
        <v>1278</v>
      </c>
      <c r="F328" s="8" t="s">
        <v>1279</v>
      </c>
      <c r="G328" s="7" t="s">
        <v>83</v>
      </c>
      <c r="H328" s="8"/>
      <c r="I328" s="9" t="s">
        <v>30</v>
      </c>
      <c r="J328" s="10"/>
      <c r="K328" s="9"/>
      <c r="L328" s="11"/>
    </row>
    <row r="329" customFormat="false" ht="23.85" hidden="false" customHeight="false" outlineLevel="0" collapsed="false">
      <c r="A329" s="7" t="s">
        <v>1280</v>
      </c>
      <c r="B329" s="8" t="s">
        <v>1281</v>
      </c>
      <c r="C329" s="7" t="s">
        <v>1252</v>
      </c>
      <c r="D329" s="7" t="s">
        <v>80</v>
      </c>
      <c r="E329" s="8" t="s">
        <v>1282</v>
      </c>
      <c r="F329" s="8" t="s">
        <v>1283</v>
      </c>
      <c r="G329" s="7" t="s">
        <v>83</v>
      </c>
      <c r="H329" s="8"/>
      <c r="I329" s="9" t="s">
        <v>30</v>
      </c>
      <c r="J329" s="10"/>
      <c r="K329" s="9"/>
      <c r="L329" s="11"/>
    </row>
    <row r="330" customFormat="false" ht="23.85" hidden="false" customHeight="false" outlineLevel="0" collapsed="false">
      <c r="A330" s="7" t="s">
        <v>1284</v>
      </c>
      <c r="B330" s="8" t="s">
        <v>1285</v>
      </c>
      <c r="C330" s="7" t="s">
        <v>1247</v>
      </c>
      <c r="D330" s="7" t="s">
        <v>1248</v>
      </c>
      <c r="E330" s="8" t="s">
        <v>1286</v>
      </c>
      <c r="F330" s="8"/>
      <c r="G330" s="7" t="s">
        <v>29</v>
      </c>
      <c r="H330" s="8"/>
      <c r="I330" s="9" t="s">
        <v>30</v>
      </c>
      <c r="J330" s="10"/>
      <c r="K330" s="9"/>
      <c r="L330" s="11"/>
    </row>
    <row r="331" customFormat="false" ht="15" hidden="false" customHeight="false" outlineLevel="0" collapsed="false">
      <c r="A331" s="7" t="s">
        <v>1287</v>
      </c>
      <c r="B331" s="8" t="s">
        <v>1288</v>
      </c>
      <c r="C331" s="7" t="s">
        <v>1289</v>
      </c>
      <c r="D331" s="7" t="s">
        <v>27</v>
      </c>
      <c r="E331" s="8" t="s">
        <v>1290</v>
      </c>
      <c r="F331" s="8"/>
      <c r="G331" s="7" t="s">
        <v>29</v>
      </c>
      <c r="H331" s="8"/>
      <c r="I331" s="9" t="s">
        <v>30</v>
      </c>
      <c r="J331" s="10"/>
      <c r="K331" s="9"/>
      <c r="L331" s="11"/>
    </row>
    <row r="332" customFormat="false" ht="23.85" hidden="false" customHeight="false" outlineLevel="0" collapsed="false">
      <c r="A332" s="7" t="s">
        <v>1291</v>
      </c>
      <c r="B332" s="8" t="s">
        <v>1292</v>
      </c>
      <c r="C332" s="7" t="s">
        <v>1289</v>
      </c>
      <c r="D332" s="7" t="s">
        <v>33</v>
      </c>
      <c r="E332" s="8" t="s">
        <v>1293</v>
      </c>
      <c r="F332" s="8" t="s">
        <v>521</v>
      </c>
      <c r="G332" s="7" t="s">
        <v>29</v>
      </c>
      <c r="H332" s="8"/>
      <c r="I332" s="9" t="s">
        <v>30</v>
      </c>
      <c r="J332" s="10"/>
      <c r="K332" s="9"/>
      <c r="L332" s="11"/>
    </row>
    <row r="333" customFormat="false" ht="15" hidden="false" customHeight="false" outlineLevel="0" collapsed="false">
      <c r="A333" s="7" t="s">
        <v>1294</v>
      </c>
      <c r="B333" s="8" t="s">
        <v>1295</v>
      </c>
      <c r="C333" s="7" t="s">
        <v>1289</v>
      </c>
      <c r="D333" s="7" t="s">
        <v>33</v>
      </c>
      <c r="E333" s="8" t="s">
        <v>1296</v>
      </c>
      <c r="F333" s="8" t="s">
        <v>1297</v>
      </c>
      <c r="G333" s="7" t="s">
        <v>29</v>
      </c>
      <c r="H333" s="8"/>
      <c r="I333" s="9" t="s">
        <v>30</v>
      </c>
      <c r="J333" s="10"/>
      <c r="K333" s="9"/>
      <c r="L333" s="11"/>
    </row>
    <row r="334" customFormat="false" ht="23.85" hidden="false" customHeight="false" outlineLevel="0" collapsed="false">
      <c r="A334" s="7" t="s">
        <v>1298</v>
      </c>
      <c r="B334" s="8" t="s">
        <v>1299</v>
      </c>
      <c r="C334" s="7" t="s">
        <v>1289</v>
      </c>
      <c r="D334" s="7" t="s">
        <v>33</v>
      </c>
      <c r="E334" s="8" t="s">
        <v>1300</v>
      </c>
      <c r="F334" s="8" t="s">
        <v>1301</v>
      </c>
      <c r="G334" s="7" t="s">
        <v>29</v>
      </c>
      <c r="H334" s="8"/>
      <c r="I334" s="9" t="s">
        <v>30</v>
      </c>
      <c r="J334" s="10"/>
      <c r="K334" s="9"/>
      <c r="L334" s="11"/>
    </row>
    <row r="335" customFormat="false" ht="15" hidden="false" customHeight="false" outlineLevel="0" collapsed="false">
      <c r="A335" s="7" t="s">
        <v>1302</v>
      </c>
      <c r="B335" s="8" t="s">
        <v>1303</v>
      </c>
      <c r="C335" s="7" t="s">
        <v>1289</v>
      </c>
      <c r="D335" s="7" t="s">
        <v>33</v>
      </c>
      <c r="E335" s="8" t="s">
        <v>1304</v>
      </c>
      <c r="F335" s="8" t="s">
        <v>1194</v>
      </c>
      <c r="G335" s="7" t="s">
        <v>29</v>
      </c>
      <c r="H335" s="8"/>
      <c r="I335" s="9" t="s">
        <v>30</v>
      </c>
      <c r="J335" s="10"/>
      <c r="K335" s="9"/>
      <c r="L335" s="11"/>
    </row>
    <row r="336" customFormat="false" ht="23.85" hidden="false" customHeight="false" outlineLevel="0" collapsed="false">
      <c r="A336" s="7" t="s">
        <v>1305</v>
      </c>
      <c r="B336" s="8" t="s">
        <v>1306</v>
      </c>
      <c r="C336" s="7" t="s">
        <v>1289</v>
      </c>
      <c r="D336" s="7" t="s">
        <v>50</v>
      </c>
      <c r="E336" s="8" t="s">
        <v>1307</v>
      </c>
      <c r="F336" s="8"/>
      <c r="G336" s="7" t="s">
        <v>29</v>
      </c>
      <c r="H336" s="8"/>
      <c r="I336" s="9" t="s">
        <v>30</v>
      </c>
      <c r="J336" s="10"/>
      <c r="K336" s="9"/>
      <c r="L336" s="11"/>
    </row>
    <row r="337" customFormat="false" ht="15" hidden="false" customHeight="false" outlineLevel="0" collapsed="false">
      <c r="A337" s="7" t="s">
        <v>1308</v>
      </c>
      <c r="B337" s="8" t="s">
        <v>1309</v>
      </c>
      <c r="C337" s="7" t="s">
        <v>1289</v>
      </c>
      <c r="D337" s="7" t="s">
        <v>80</v>
      </c>
      <c r="E337" s="8" t="s">
        <v>1310</v>
      </c>
      <c r="F337" s="8" t="s">
        <v>1311</v>
      </c>
      <c r="G337" s="7" t="s">
        <v>83</v>
      </c>
      <c r="H337" s="8"/>
      <c r="I337" s="9" t="s">
        <v>30</v>
      </c>
      <c r="J337" s="10"/>
      <c r="K337" s="9"/>
      <c r="L337" s="11"/>
    </row>
    <row r="338" customFormat="false" ht="15" hidden="false" customHeight="false" outlineLevel="0" collapsed="false">
      <c r="A338" s="7" t="s">
        <v>1312</v>
      </c>
      <c r="B338" s="8" t="s">
        <v>1313</v>
      </c>
      <c r="C338" s="7" t="s">
        <v>1289</v>
      </c>
      <c r="D338" s="7" t="s">
        <v>80</v>
      </c>
      <c r="E338" s="8" t="s">
        <v>1314</v>
      </c>
      <c r="F338" s="8" t="s">
        <v>1315</v>
      </c>
      <c r="G338" s="7" t="s">
        <v>83</v>
      </c>
      <c r="H338" s="8"/>
      <c r="I338" s="9" t="s">
        <v>30</v>
      </c>
      <c r="J338" s="10"/>
      <c r="K338" s="9"/>
      <c r="L338" s="11"/>
    </row>
    <row r="339" customFormat="false" ht="15" hidden="false" customHeight="false" outlineLevel="0" collapsed="false">
      <c r="A339" s="7" t="s">
        <v>1316</v>
      </c>
      <c r="B339" s="8" t="s">
        <v>1317</v>
      </c>
      <c r="C339" s="7" t="s">
        <v>1289</v>
      </c>
      <c r="D339" s="7" t="s">
        <v>80</v>
      </c>
      <c r="E339" s="8" t="s">
        <v>1318</v>
      </c>
      <c r="F339" s="8" t="s">
        <v>1319</v>
      </c>
      <c r="G339" s="7" t="s">
        <v>83</v>
      </c>
      <c r="H339" s="8"/>
      <c r="I339" s="9" t="s">
        <v>30</v>
      </c>
      <c r="J339" s="10"/>
      <c r="K339" s="9"/>
      <c r="L339" s="11"/>
    </row>
    <row r="340" customFormat="false" ht="15" hidden="false" customHeight="false" outlineLevel="0" collapsed="false">
      <c r="A340" s="7" t="s">
        <v>1320</v>
      </c>
      <c r="B340" s="8" t="s">
        <v>1321</v>
      </c>
      <c r="C340" s="7" t="s">
        <v>1322</v>
      </c>
      <c r="D340" s="7" t="s">
        <v>27</v>
      </c>
      <c r="E340" s="8" t="s">
        <v>1323</v>
      </c>
      <c r="F340" s="8"/>
      <c r="G340" s="7" t="s">
        <v>29</v>
      </c>
      <c r="H340" s="8"/>
      <c r="I340" s="9" t="s">
        <v>30</v>
      </c>
      <c r="J340" s="10"/>
      <c r="K340" s="9"/>
      <c r="L340" s="11"/>
    </row>
    <row r="341" customFormat="false" ht="23.85" hidden="false" customHeight="false" outlineLevel="0" collapsed="false">
      <c r="A341" s="7" t="s">
        <v>1324</v>
      </c>
      <c r="B341" s="8" t="s">
        <v>1325</v>
      </c>
      <c r="C341" s="7" t="s">
        <v>1322</v>
      </c>
      <c r="D341" s="7" t="s">
        <v>33</v>
      </c>
      <c r="E341" s="8" t="s">
        <v>1326</v>
      </c>
      <c r="F341" s="8" t="s">
        <v>1327</v>
      </c>
      <c r="G341" s="7" t="s">
        <v>29</v>
      </c>
      <c r="H341" s="8"/>
      <c r="I341" s="9" t="s">
        <v>30</v>
      </c>
      <c r="J341" s="10"/>
      <c r="K341" s="9"/>
      <c r="L341" s="11"/>
    </row>
    <row r="342" customFormat="false" ht="23.85" hidden="false" customHeight="false" outlineLevel="0" collapsed="false">
      <c r="A342" s="7" t="s">
        <v>1328</v>
      </c>
      <c r="B342" s="8" t="s">
        <v>1329</v>
      </c>
      <c r="C342" s="7" t="s">
        <v>1322</v>
      </c>
      <c r="D342" s="7" t="s">
        <v>33</v>
      </c>
      <c r="E342" s="8" t="s">
        <v>1330</v>
      </c>
      <c r="F342" s="8" t="s">
        <v>1331</v>
      </c>
      <c r="G342" s="7" t="s">
        <v>29</v>
      </c>
      <c r="H342" s="8"/>
      <c r="I342" s="9" t="s">
        <v>30</v>
      </c>
      <c r="J342" s="10"/>
      <c r="K342" s="9"/>
      <c r="L342" s="11"/>
    </row>
    <row r="343" customFormat="false" ht="23.85" hidden="false" customHeight="false" outlineLevel="0" collapsed="false">
      <c r="A343" s="7" t="s">
        <v>1332</v>
      </c>
      <c r="B343" s="8" t="s">
        <v>1333</v>
      </c>
      <c r="C343" s="7" t="s">
        <v>1322</v>
      </c>
      <c r="D343" s="7" t="s">
        <v>33</v>
      </c>
      <c r="E343" s="8" t="s">
        <v>1334</v>
      </c>
      <c r="F343" s="8" t="s">
        <v>1335</v>
      </c>
      <c r="G343" s="7" t="s">
        <v>29</v>
      </c>
      <c r="H343" s="8" t="s">
        <v>1336</v>
      </c>
      <c r="I343" s="9" t="s">
        <v>30</v>
      </c>
      <c r="J343" s="10"/>
      <c r="K343" s="9"/>
      <c r="L343" s="11"/>
    </row>
    <row r="344" customFormat="false" ht="15" hidden="false" customHeight="false" outlineLevel="0" collapsed="false">
      <c r="A344" s="7" t="s">
        <v>1337</v>
      </c>
      <c r="B344" s="8" t="s">
        <v>1338</v>
      </c>
      <c r="C344" s="7" t="s">
        <v>1322</v>
      </c>
      <c r="D344" s="7" t="s">
        <v>50</v>
      </c>
      <c r="E344" s="8" t="s">
        <v>1339</v>
      </c>
      <c r="F344" s="8"/>
      <c r="G344" s="7" t="s">
        <v>29</v>
      </c>
      <c r="H344" s="8"/>
      <c r="I344" s="9" t="s">
        <v>30</v>
      </c>
      <c r="J344" s="10"/>
      <c r="K344" s="9"/>
      <c r="L344" s="11"/>
    </row>
    <row r="345" customFormat="false" ht="15" hidden="false" customHeight="false" outlineLevel="0" collapsed="false">
      <c r="A345" s="7" t="s">
        <v>1340</v>
      </c>
      <c r="B345" s="8" t="s">
        <v>1341</v>
      </c>
      <c r="C345" s="7" t="s">
        <v>1322</v>
      </c>
      <c r="D345" s="7" t="s">
        <v>80</v>
      </c>
      <c r="E345" s="8" t="s">
        <v>1342</v>
      </c>
      <c r="F345" s="8" t="s">
        <v>1343</v>
      </c>
      <c r="G345" s="7" t="s">
        <v>83</v>
      </c>
      <c r="H345" s="8"/>
      <c r="I345" s="9" t="s">
        <v>30</v>
      </c>
      <c r="J345" s="10"/>
      <c r="K345" s="9"/>
      <c r="L345" s="11"/>
    </row>
    <row r="346" customFormat="false" ht="23.85" hidden="false" customHeight="false" outlineLevel="0" collapsed="false">
      <c r="A346" s="7" t="s">
        <v>1344</v>
      </c>
      <c r="B346" s="8" t="s">
        <v>1345</v>
      </c>
      <c r="C346" s="7" t="s">
        <v>1322</v>
      </c>
      <c r="D346" s="7" t="s">
        <v>80</v>
      </c>
      <c r="E346" s="8" t="s">
        <v>1346</v>
      </c>
      <c r="F346" s="8" t="s">
        <v>1347</v>
      </c>
      <c r="G346" s="7" t="s">
        <v>83</v>
      </c>
      <c r="H346" s="8"/>
      <c r="I346" s="9" t="s">
        <v>30</v>
      </c>
      <c r="J346" s="10"/>
      <c r="K346" s="9"/>
      <c r="L346" s="11"/>
    </row>
    <row r="347" customFormat="false" ht="23.85" hidden="false" customHeight="false" outlineLevel="0" collapsed="false">
      <c r="A347" s="7" t="s">
        <v>1348</v>
      </c>
      <c r="B347" s="8" t="s">
        <v>1349</v>
      </c>
      <c r="C347" s="7" t="s">
        <v>1322</v>
      </c>
      <c r="D347" s="7" t="s">
        <v>80</v>
      </c>
      <c r="E347" s="8" t="s">
        <v>1350</v>
      </c>
      <c r="F347" s="8" t="s">
        <v>1351</v>
      </c>
      <c r="G347" s="7" t="s">
        <v>83</v>
      </c>
      <c r="H347" s="8" t="s">
        <v>1336</v>
      </c>
      <c r="I347" s="9" t="s">
        <v>30</v>
      </c>
      <c r="J347" s="10"/>
      <c r="K347" s="9"/>
      <c r="L347" s="11"/>
    </row>
    <row r="348" customFormat="false" ht="23.85" hidden="false" customHeight="false" outlineLevel="0" collapsed="false">
      <c r="A348" s="7" t="s">
        <v>1352</v>
      </c>
      <c r="B348" s="8" t="s">
        <v>1353</v>
      </c>
      <c r="C348" s="7" t="s">
        <v>1354</v>
      </c>
      <c r="D348" s="7" t="s">
        <v>27</v>
      </c>
      <c r="E348" s="8" t="s">
        <v>1355</v>
      </c>
      <c r="F348" s="8"/>
      <c r="G348" s="7" t="s">
        <v>29</v>
      </c>
      <c r="H348" s="8"/>
      <c r="I348" s="9" t="s">
        <v>30</v>
      </c>
      <c r="J348" s="10"/>
      <c r="K348" s="9"/>
      <c r="L348" s="11"/>
    </row>
    <row r="349" customFormat="false" ht="23.85" hidden="false" customHeight="false" outlineLevel="0" collapsed="false">
      <c r="A349" s="7" t="s">
        <v>1356</v>
      </c>
      <c r="B349" s="8" t="s">
        <v>1357</v>
      </c>
      <c r="C349" s="7" t="s">
        <v>1354</v>
      </c>
      <c r="D349" s="7" t="s">
        <v>33</v>
      </c>
      <c r="E349" s="8" t="s">
        <v>1358</v>
      </c>
      <c r="F349" s="8" t="s">
        <v>1359</v>
      </c>
      <c r="G349" s="7" t="s">
        <v>29</v>
      </c>
      <c r="H349" s="8"/>
      <c r="I349" s="9" t="s">
        <v>30</v>
      </c>
      <c r="J349" s="10"/>
      <c r="K349" s="9"/>
      <c r="L349" s="11"/>
    </row>
    <row r="350" customFormat="false" ht="23.85" hidden="false" customHeight="false" outlineLevel="0" collapsed="false">
      <c r="A350" s="7" t="s">
        <v>1360</v>
      </c>
      <c r="B350" s="8" t="s">
        <v>1361</v>
      </c>
      <c r="C350" s="7" t="s">
        <v>1354</v>
      </c>
      <c r="D350" s="7" t="s">
        <v>33</v>
      </c>
      <c r="E350" s="8" t="s">
        <v>1362</v>
      </c>
      <c r="F350" s="8" t="s">
        <v>1363</v>
      </c>
      <c r="G350" s="7" t="s">
        <v>29</v>
      </c>
      <c r="H350" s="8"/>
      <c r="I350" s="9" t="s">
        <v>30</v>
      </c>
      <c r="J350" s="10"/>
      <c r="K350" s="9"/>
      <c r="L350" s="11"/>
    </row>
    <row r="351" customFormat="false" ht="15" hidden="false" customHeight="false" outlineLevel="0" collapsed="false">
      <c r="A351" s="7" t="s">
        <v>1364</v>
      </c>
      <c r="B351" s="8" t="s">
        <v>1365</v>
      </c>
      <c r="C351" s="7" t="s">
        <v>1354</v>
      </c>
      <c r="D351" s="7" t="s">
        <v>33</v>
      </c>
      <c r="E351" s="8" t="s">
        <v>1366</v>
      </c>
      <c r="F351" s="8" t="s">
        <v>1367</v>
      </c>
      <c r="G351" s="7" t="s">
        <v>29</v>
      </c>
      <c r="H351" s="8"/>
      <c r="I351" s="9" t="s">
        <v>30</v>
      </c>
      <c r="J351" s="10"/>
      <c r="K351" s="9"/>
      <c r="L351" s="11"/>
    </row>
    <row r="352" customFormat="false" ht="23.85" hidden="false" customHeight="false" outlineLevel="0" collapsed="false">
      <c r="A352" s="7" t="s">
        <v>1368</v>
      </c>
      <c r="B352" s="8" t="s">
        <v>1369</v>
      </c>
      <c r="C352" s="7" t="s">
        <v>1354</v>
      </c>
      <c r="D352" s="7" t="s">
        <v>33</v>
      </c>
      <c r="E352" s="8" t="s">
        <v>1370</v>
      </c>
      <c r="F352" s="8" t="s">
        <v>1371</v>
      </c>
      <c r="G352" s="7" t="s">
        <v>29</v>
      </c>
      <c r="H352" s="8"/>
      <c r="I352" s="9" t="s">
        <v>30</v>
      </c>
      <c r="J352" s="10"/>
      <c r="K352" s="9"/>
      <c r="L352" s="11"/>
    </row>
    <row r="353" customFormat="false" ht="23.85" hidden="false" customHeight="false" outlineLevel="0" collapsed="false">
      <c r="A353" s="7" t="s">
        <v>1372</v>
      </c>
      <c r="B353" s="8" t="s">
        <v>1373</v>
      </c>
      <c r="C353" s="7" t="s">
        <v>1354</v>
      </c>
      <c r="D353" s="7" t="s">
        <v>50</v>
      </c>
      <c r="E353" s="8" t="s">
        <v>1374</v>
      </c>
      <c r="F353" s="8"/>
      <c r="G353" s="7" t="s">
        <v>29</v>
      </c>
      <c r="H353" s="8"/>
      <c r="I353" s="9" t="s">
        <v>30</v>
      </c>
      <c r="J353" s="10"/>
      <c r="K353" s="9"/>
      <c r="L353" s="11"/>
    </row>
    <row r="354" customFormat="false" ht="23.85" hidden="false" customHeight="false" outlineLevel="0" collapsed="false">
      <c r="A354" s="7" t="s">
        <v>1375</v>
      </c>
      <c r="B354" s="8" t="s">
        <v>1376</v>
      </c>
      <c r="C354" s="7" t="s">
        <v>1354</v>
      </c>
      <c r="D354" s="7" t="s">
        <v>80</v>
      </c>
      <c r="E354" s="8" t="s">
        <v>1377</v>
      </c>
      <c r="F354" s="8" t="s">
        <v>1378</v>
      </c>
      <c r="G354" s="7" t="s">
        <v>83</v>
      </c>
      <c r="H354" s="8"/>
      <c r="I354" s="9" t="s">
        <v>30</v>
      </c>
      <c r="J354" s="10"/>
      <c r="K354" s="9"/>
      <c r="L354" s="11"/>
    </row>
    <row r="355" customFormat="false" ht="23.85" hidden="false" customHeight="false" outlineLevel="0" collapsed="false">
      <c r="A355" s="7" t="s">
        <v>1379</v>
      </c>
      <c r="B355" s="8" t="s">
        <v>1380</v>
      </c>
      <c r="C355" s="7" t="s">
        <v>1354</v>
      </c>
      <c r="D355" s="7" t="s">
        <v>80</v>
      </c>
      <c r="E355" s="8" t="s">
        <v>1381</v>
      </c>
      <c r="F355" s="8" t="s">
        <v>1382</v>
      </c>
      <c r="G355" s="7" t="s">
        <v>83</v>
      </c>
      <c r="H355" s="8"/>
      <c r="I355" s="9" t="s">
        <v>30</v>
      </c>
      <c r="J355" s="10"/>
      <c r="K355" s="9"/>
      <c r="L355" s="11"/>
    </row>
    <row r="356" customFormat="false" ht="23.85" hidden="false" customHeight="false" outlineLevel="0" collapsed="false">
      <c r="A356" s="7" t="s">
        <v>1383</v>
      </c>
      <c r="B356" s="8" t="s">
        <v>1384</v>
      </c>
      <c r="C356" s="7" t="s">
        <v>1354</v>
      </c>
      <c r="D356" s="7" t="s">
        <v>80</v>
      </c>
      <c r="E356" s="8" t="s">
        <v>1385</v>
      </c>
      <c r="F356" s="8" t="s">
        <v>1386</v>
      </c>
      <c r="G356" s="7" t="s">
        <v>83</v>
      </c>
      <c r="H356" s="8"/>
      <c r="I356" s="9" t="s">
        <v>30</v>
      </c>
      <c r="J356" s="10"/>
      <c r="K356" s="9"/>
      <c r="L356" s="11"/>
    </row>
    <row r="357" customFormat="false" ht="23.85" hidden="false" customHeight="false" outlineLevel="0" collapsed="false">
      <c r="A357" s="7" t="s">
        <v>1387</v>
      </c>
      <c r="B357" s="8" t="s">
        <v>1388</v>
      </c>
      <c r="C357" s="7" t="s">
        <v>1389</v>
      </c>
      <c r="D357" s="7" t="s">
        <v>27</v>
      </c>
      <c r="E357" s="8" t="s">
        <v>1390</v>
      </c>
      <c r="F357" s="8"/>
      <c r="G357" s="7" t="s">
        <v>29</v>
      </c>
      <c r="H357" s="8"/>
      <c r="I357" s="9" t="s">
        <v>30</v>
      </c>
      <c r="J357" s="10"/>
      <c r="K357" s="9"/>
      <c r="L357" s="11"/>
    </row>
    <row r="358" customFormat="false" ht="23.85" hidden="false" customHeight="false" outlineLevel="0" collapsed="false">
      <c r="A358" s="7" t="s">
        <v>1391</v>
      </c>
      <c r="B358" s="8" t="s">
        <v>1392</v>
      </c>
      <c r="C358" s="7" t="s">
        <v>1389</v>
      </c>
      <c r="D358" s="7" t="s">
        <v>33</v>
      </c>
      <c r="E358" s="8" t="s">
        <v>1393</v>
      </c>
      <c r="F358" s="8" t="s">
        <v>1394</v>
      </c>
      <c r="G358" s="7" t="s">
        <v>29</v>
      </c>
      <c r="H358" s="8"/>
      <c r="I358" s="9" t="s">
        <v>30</v>
      </c>
      <c r="J358" s="10"/>
      <c r="K358" s="9"/>
      <c r="L358" s="11"/>
    </row>
    <row r="359" customFormat="false" ht="23.85" hidden="false" customHeight="false" outlineLevel="0" collapsed="false">
      <c r="A359" s="7" t="s">
        <v>1395</v>
      </c>
      <c r="B359" s="8" t="s">
        <v>1396</v>
      </c>
      <c r="C359" s="7" t="s">
        <v>1389</v>
      </c>
      <c r="D359" s="7" t="s">
        <v>33</v>
      </c>
      <c r="E359" s="8" t="s">
        <v>1397</v>
      </c>
      <c r="F359" s="8" t="s">
        <v>1398</v>
      </c>
      <c r="G359" s="7" t="s">
        <v>29</v>
      </c>
      <c r="H359" s="8"/>
      <c r="I359" s="9" t="s">
        <v>30</v>
      </c>
      <c r="J359" s="10"/>
      <c r="K359" s="9"/>
      <c r="L359" s="11"/>
    </row>
    <row r="360" customFormat="false" ht="23.85" hidden="false" customHeight="false" outlineLevel="0" collapsed="false">
      <c r="A360" s="7" t="s">
        <v>1399</v>
      </c>
      <c r="B360" s="8" t="s">
        <v>1400</v>
      </c>
      <c r="C360" s="7" t="s">
        <v>1389</v>
      </c>
      <c r="D360" s="7" t="s">
        <v>33</v>
      </c>
      <c r="E360" s="8" t="s">
        <v>1401</v>
      </c>
      <c r="F360" s="8" t="s">
        <v>1402</v>
      </c>
      <c r="G360" s="7" t="s">
        <v>29</v>
      </c>
      <c r="H360" s="8"/>
      <c r="I360" s="9" t="s">
        <v>30</v>
      </c>
      <c r="J360" s="10"/>
      <c r="K360" s="9"/>
      <c r="L360" s="11"/>
    </row>
    <row r="361" customFormat="false" ht="15" hidden="false" customHeight="false" outlineLevel="0" collapsed="false">
      <c r="A361" s="7" t="s">
        <v>1403</v>
      </c>
      <c r="B361" s="8" t="s">
        <v>1404</v>
      </c>
      <c r="C361" s="7" t="s">
        <v>1389</v>
      </c>
      <c r="D361" s="7" t="s">
        <v>33</v>
      </c>
      <c r="E361" s="8" t="s">
        <v>1405</v>
      </c>
      <c r="F361" s="8"/>
      <c r="G361" s="7" t="s">
        <v>29</v>
      </c>
      <c r="H361" s="8"/>
      <c r="I361" s="9" t="s">
        <v>30</v>
      </c>
      <c r="J361" s="10"/>
      <c r="K361" s="9"/>
      <c r="L361" s="11"/>
    </row>
    <row r="362" customFormat="false" ht="23.85" hidden="false" customHeight="false" outlineLevel="0" collapsed="false">
      <c r="A362" s="7" t="s">
        <v>1406</v>
      </c>
      <c r="B362" s="8" t="s">
        <v>1407</v>
      </c>
      <c r="C362" s="7" t="s">
        <v>1389</v>
      </c>
      <c r="D362" s="7" t="s">
        <v>50</v>
      </c>
      <c r="E362" s="8" t="s">
        <v>1408</v>
      </c>
      <c r="F362" s="8"/>
      <c r="G362" s="7" t="s">
        <v>29</v>
      </c>
      <c r="H362" s="8"/>
      <c r="I362" s="9" t="s">
        <v>30</v>
      </c>
      <c r="J362" s="10"/>
      <c r="K362" s="9"/>
      <c r="L362" s="11"/>
    </row>
    <row r="363" customFormat="false" ht="23.85" hidden="false" customHeight="false" outlineLevel="0" collapsed="false">
      <c r="A363" s="7" t="s">
        <v>1409</v>
      </c>
      <c r="B363" s="8" t="s">
        <v>1410</v>
      </c>
      <c r="C363" s="7" t="s">
        <v>1389</v>
      </c>
      <c r="D363" s="7" t="s">
        <v>80</v>
      </c>
      <c r="E363" s="8" t="s">
        <v>1411</v>
      </c>
      <c r="F363" s="8" t="s">
        <v>1412</v>
      </c>
      <c r="G363" s="7" t="s">
        <v>83</v>
      </c>
      <c r="H363" s="8"/>
      <c r="I363" s="9" t="s">
        <v>30</v>
      </c>
      <c r="J363" s="10"/>
      <c r="K363" s="9"/>
      <c r="L363" s="11"/>
    </row>
    <row r="364" customFormat="false" ht="23.85" hidden="false" customHeight="false" outlineLevel="0" collapsed="false">
      <c r="A364" s="7" t="s">
        <v>1413</v>
      </c>
      <c r="B364" s="8" t="s">
        <v>1414</v>
      </c>
      <c r="C364" s="7" t="s">
        <v>1389</v>
      </c>
      <c r="D364" s="7" t="s">
        <v>80</v>
      </c>
      <c r="E364" s="8" t="s">
        <v>1415</v>
      </c>
      <c r="F364" s="8" t="s">
        <v>1416</v>
      </c>
      <c r="G364" s="7" t="s">
        <v>83</v>
      </c>
      <c r="H364" s="8"/>
      <c r="I364" s="9" t="s">
        <v>30</v>
      </c>
      <c r="J364" s="10"/>
      <c r="K364" s="9"/>
      <c r="L364" s="11"/>
    </row>
    <row r="365" customFormat="false" ht="23.85" hidden="false" customHeight="false" outlineLevel="0" collapsed="false">
      <c r="A365" s="7" t="s">
        <v>1417</v>
      </c>
      <c r="B365" s="8" t="s">
        <v>1418</v>
      </c>
      <c r="C365" s="7" t="s">
        <v>1389</v>
      </c>
      <c r="D365" s="7" t="s">
        <v>80</v>
      </c>
      <c r="E365" s="8" t="s">
        <v>1419</v>
      </c>
      <c r="F365" s="8" t="s">
        <v>1420</v>
      </c>
      <c r="G365" s="7" t="s">
        <v>83</v>
      </c>
      <c r="H365" s="8"/>
      <c r="I365" s="9" t="s">
        <v>30</v>
      </c>
      <c r="J365" s="10"/>
      <c r="K365" s="9"/>
      <c r="L365" s="11"/>
    </row>
    <row r="366" customFormat="false" ht="23.85" hidden="false" customHeight="false" outlineLevel="0" collapsed="false">
      <c r="A366" s="7" t="s">
        <v>1421</v>
      </c>
      <c r="B366" s="8" t="s">
        <v>1422</v>
      </c>
      <c r="C366" s="7" t="s">
        <v>1423</v>
      </c>
      <c r="D366" s="7" t="s">
        <v>27</v>
      </c>
      <c r="E366" s="8" t="s">
        <v>1424</v>
      </c>
      <c r="F366" s="8"/>
      <c r="G366" s="7" t="s">
        <v>29</v>
      </c>
      <c r="H366" s="8"/>
      <c r="I366" s="9" t="s">
        <v>30</v>
      </c>
      <c r="J366" s="10"/>
      <c r="K366" s="9"/>
      <c r="L366" s="11"/>
    </row>
    <row r="367" customFormat="false" ht="23.85" hidden="false" customHeight="false" outlineLevel="0" collapsed="false">
      <c r="A367" s="7" t="s">
        <v>1425</v>
      </c>
      <c r="B367" s="8" t="s">
        <v>1426</v>
      </c>
      <c r="C367" s="7" t="s">
        <v>1423</v>
      </c>
      <c r="D367" s="7" t="s">
        <v>33</v>
      </c>
      <c r="E367" s="8" t="s">
        <v>1427</v>
      </c>
      <c r="F367" s="8"/>
      <c r="G367" s="7" t="s">
        <v>29</v>
      </c>
      <c r="H367" s="8"/>
      <c r="I367" s="9" t="s">
        <v>30</v>
      </c>
      <c r="J367" s="10"/>
      <c r="K367" s="9"/>
      <c r="L367" s="11"/>
    </row>
    <row r="368" customFormat="false" ht="23.85" hidden="false" customHeight="false" outlineLevel="0" collapsed="false">
      <c r="A368" s="7" t="s">
        <v>1428</v>
      </c>
      <c r="B368" s="8" t="s">
        <v>1429</v>
      </c>
      <c r="C368" s="7" t="s">
        <v>1423</v>
      </c>
      <c r="D368" s="7" t="s">
        <v>33</v>
      </c>
      <c r="E368" s="8" t="s">
        <v>1430</v>
      </c>
      <c r="F368" s="8" t="s">
        <v>1431</v>
      </c>
      <c r="G368" s="7" t="s">
        <v>29</v>
      </c>
      <c r="H368" s="8"/>
      <c r="I368" s="9" t="s">
        <v>30</v>
      </c>
      <c r="J368" s="10"/>
      <c r="K368" s="9"/>
      <c r="L368" s="11"/>
    </row>
    <row r="369" customFormat="false" ht="23.85" hidden="false" customHeight="false" outlineLevel="0" collapsed="false">
      <c r="A369" s="7" t="s">
        <v>1432</v>
      </c>
      <c r="B369" s="8" t="s">
        <v>1433</v>
      </c>
      <c r="C369" s="7" t="s">
        <v>1423</v>
      </c>
      <c r="D369" s="7" t="s">
        <v>33</v>
      </c>
      <c r="E369" s="8" t="s">
        <v>1434</v>
      </c>
      <c r="F369" s="8" t="s">
        <v>1435</v>
      </c>
      <c r="G369" s="7" t="s">
        <v>29</v>
      </c>
      <c r="H369" s="8"/>
      <c r="I369" s="9" t="s">
        <v>30</v>
      </c>
      <c r="J369" s="10"/>
      <c r="K369" s="9"/>
      <c r="L369" s="11"/>
    </row>
    <row r="370" customFormat="false" ht="15" hidden="false" customHeight="false" outlineLevel="0" collapsed="false">
      <c r="A370" s="7" t="s">
        <v>1436</v>
      </c>
      <c r="B370" s="8" t="s">
        <v>1437</v>
      </c>
      <c r="C370" s="7" t="s">
        <v>1423</v>
      </c>
      <c r="D370" s="7" t="s">
        <v>33</v>
      </c>
      <c r="E370" s="8" t="s">
        <v>1438</v>
      </c>
      <c r="F370" s="8"/>
      <c r="G370" s="7" t="s">
        <v>29</v>
      </c>
      <c r="H370" s="8"/>
      <c r="I370" s="9" t="s">
        <v>30</v>
      </c>
      <c r="J370" s="10"/>
      <c r="K370" s="9"/>
      <c r="L370" s="11"/>
    </row>
    <row r="371" customFormat="false" ht="23.85" hidden="false" customHeight="false" outlineLevel="0" collapsed="false">
      <c r="A371" s="7" t="s">
        <v>1439</v>
      </c>
      <c r="B371" s="8" t="s">
        <v>1440</v>
      </c>
      <c r="C371" s="7" t="s">
        <v>1423</v>
      </c>
      <c r="D371" s="7" t="s">
        <v>50</v>
      </c>
      <c r="E371" s="8" t="s">
        <v>1441</v>
      </c>
      <c r="F371" s="8"/>
      <c r="G371" s="7" t="s">
        <v>29</v>
      </c>
      <c r="H371" s="8"/>
      <c r="I371" s="9" t="s">
        <v>30</v>
      </c>
      <c r="J371" s="10"/>
      <c r="K371" s="9"/>
      <c r="L371" s="11"/>
    </row>
    <row r="372" customFormat="false" ht="23.85" hidden="false" customHeight="false" outlineLevel="0" collapsed="false">
      <c r="A372" s="7" t="s">
        <v>1442</v>
      </c>
      <c r="B372" s="8" t="s">
        <v>1443</v>
      </c>
      <c r="C372" s="7" t="s">
        <v>1423</v>
      </c>
      <c r="D372" s="7" t="s">
        <v>80</v>
      </c>
      <c r="E372" s="8" t="s">
        <v>1444</v>
      </c>
      <c r="F372" s="8" t="s">
        <v>1445</v>
      </c>
      <c r="G372" s="7" t="s">
        <v>83</v>
      </c>
      <c r="H372" s="8"/>
      <c r="I372" s="9" t="s">
        <v>30</v>
      </c>
      <c r="J372" s="10"/>
      <c r="K372" s="9"/>
      <c r="L372" s="11"/>
    </row>
    <row r="373" customFormat="false" ht="23.85" hidden="false" customHeight="false" outlineLevel="0" collapsed="false">
      <c r="A373" s="7" t="s">
        <v>1446</v>
      </c>
      <c r="B373" s="8" t="s">
        <v>1447</v>
      </c>
      <c r="C373" s="7" t="s">
        <v>1423</v>
      </c>
      <c r="D373" s="7" t="s">
        <v>80</v>
      </c>
      <c r="E373" s="8" t="s">
        <v>1448</v>
      </c>
      <c r="F373" s="8" t="s">
        <v>1449</v>
      </c>
      <c r="G373" s="7" t="s">
        <v>83</v>
      </c>
      <c r="H373" s="8"/>
      <c r="I373" s="9" t="s">
        <v>30</v>
      </c>
      <c r="J373" s="10"/>
      <c r="K373" s="9"/>
      <c r="L373" s="11"/>
    </row>
    <row r="374" customFormat="false" ht="35.05" hidden="false" customHeight="false" outlineLevel="0" collapsed="false">
      <c r="A374" s="7" t="s">
        <v>1450</v>
      </c>
      <c r="B374" s="8" t="s">
        <v>1451</v>
      </c>
      <c r="C374" s="7" t="s">
        <v>1423</v>
      </c>
      <c r="D374" s="7" t="s">
        <v>80</v>
      </c>
      <c r="E374" s="8" t="s">
        <v>1452</v>
      </c>
      <c r="F374" s="8" t="s">
        <v>1453</v>
      </c>
      <c r="G374" s="7" t="s">
        <v>83</v>
      </c>
      <c r="H374" s="8"/>
      <c r="I374" s="9" t="s">
        <v>30</v>
      </c>
      <c r="J374" s="10"/>
      <c r="K374" s="9"/>
      <c r="L374" s="11"/>
    </row>
    <row r="375" customFormat="false" ht="23.85" hidden="false" customHeight="false" outlineLevel="0" collapsed="false">
      <c r="A375" s="7" t="s">
        <v>1454</v>
      </c>
      <c r="B375" s="8" t="s">
        <v>1455</v>
      </c>
      <c r="C375" s="7" t="s">
        <v>1456</v>
      </c>
      <c r="D375" s="7" t="s">
        <v>1248</v>
      </c>
      <c r="E375" s="8" t="s">
        <v>1457</v>
      </c>
      <c r="F375" s="8"/>
      <c r="G375" s="7" t="s">
        <v>29</v>
      </c>
      <c r="H375" s="8"/>
      <c r="I375" s="9" t="s">
        <v>30</v>
      </c>
      <c r="J375" s="10"/>
      <c r="K375" s="9"/>
      <c r="L375" s="11"/>
    </row>
    <row r="376" customFormat="false" ht="23.85" hidden="false" customHeight="false" outlineLevel="0" collapsed="false">
      <c r="A376" s="7" t="s">
        <v>1458</v>
      </c>
      <c r="B376" s="8" t="s">
        <v>1459</v>
      </c>
      <c r="C376" s="7" t="s">
        <v>1460</v>
      </c>
      <c r="D376" s="7" t="s">
        <v>27</v>
      </c>
      <c r="E376" s="8" t="s">
        <v>1461</v>
      </c>
      <c r="F376" s="8"/>
      <c r="G376" s="7" t="s">
        <v>29</v>
      </c>
      <c r="H376" s="8"/>
      <c r="I376" s="9" t="s">
        <v>30</v>
      </c>
      <c r="J376" s="10"/>
      <c r="K376" s="9"/>
      <c r="L376" s="11"/>
    </row>
    <row r="377" customFormat="false" ht="23.85" hidden="false" customHeight="false" outlineLevel="0" collapsed="false">
      <c r="A377" s="7" t="s">
        <v>1462</v>
      </c>
      <c r="B377" s="8" t="s">
        <v>1463</v>
      </c>
      <c r="C377" s="7" t="s">
        <v>1460</v>
      </c>
      <c r="D377" s="7" t="s">
        <v>33</v>
      </c>
      <c r="E377" s="8" t="s">
        <v>1464</v>
      </c>
      <c r="F377" s="8" t="s">
        <v>1465</v>
      </c>
      <c r="G377" s="7" t="s">
        <v>29</v>
      </c>
      <c r="H377" s="8"/>
      <c r="I377" s="9" t="s">
        <v>30</v>
      </c>
      <c r="J377" s="10"/>
      <c r="K377" s="9"/>
      <c r="L377" s="11"/>
    </row>
    <row r="378" customFormat="false" ht="23.85" hidden="false" customHeight="false" outlineLevel="0" collapsed="false">
      <c r="A378" s="7" t="s">
        <v>1466</v>
      </c>
      <c r="B378" s="8" t="s">
        <v>1467</v>
      </c>
      <c r="C378" s="7" t="s">
        <v>1460</v>
      </c>
      <c r="D378" s="7" t="s">
        <v>33</v>
      </c>
      <c r="E378" s="8" t="s">
        <v>1468</v>
      </c>
      <c r="F378" s="8" t="s">
        <v>1469</v>
      </c>
      <c r="G378" s="7" t="s">
        <v>29</v>
      </c>
      <c r="H378" s="8"/>
      <c r="I378" s="9" t="s">
        <v>30</v>
      </c>
      <c r="J378" s="10"/>
      <c r="K378" s="9"/>
      <c r="L378" s="11"/>
    </row>
    <row r="379" customFormat="false" ht="23.85" hidden="false" customHeight="false" outlineLevel="0" collapsed="false">
      <c r="A379" s="7" t="s">
        <v>1470</v>
      </c>
      <c r="B379" s="8" t="s">
        <v>1471</v>
      </c>
      <c r="C379" s="7" t="s">
        <v>1460</v>
      </c>
      <c r="D379" s="7" t="s">
        <v>33</v>
      </c>
      <c r="E379" s="8" t="s">
        <v>1472</v>
      </c>
      <c r="F379" s="8" t="s">
        <v>1473</v>
      </c>
      <c r="G379" s="7" t="s">
        <v>29</v>
      </c>
      <c r="H379" s="8"/>
      <c r="I379" s="9" t="s">
        <v>30</v>
      </c>
      <c r="J379" s="10"/>
      <c r="K379" s="9"/>
      <c r="L379" s="11"/>
    </row>
    <row r="380" customFormat="false" ht="15" hidden="false" customHeight="false" outlineLevel="0" collapsed="false">
      <c r="A380" s="7" t="s">
        <v>1474</v>
      </c>
      <c r="B380" s="8" t="s">
        <v>1475</v>
      </c>
      <c r="C380" s="7" t="s">
        <v>1460</v>
      </c>
      <c r="D380" s="7" t="s">
        <v>33</v>
      </c>
      <c r="E380" s="8" t="s">
        <v>1476</v>
      </c>
      <c r="F380" s="8" t="s">
        <v>1477</v>
      </c>
      <c r="G380" s="7" t="s">
        <v>29</v>
      </c>
      <c r="H380" s="8"/>
      <c r="I380" s="9" t="s">
        <v>30</v>
      </c>
      <c r="J380" s="10"/>
      <c r="K380" s="9"/>
      <c r="L380" s="11"/>
    </row>
    <row r="381" customFormat="false" ht="35.05" hidden="false" customHeight="false" outlineLevel="0" collapsed="false">
      <c r="A381" s="7" t="s">
        <v>1478</v>
      </c>
      <c r="B381" s="8" t="s">
        <v>1479</v>
      </c>
      <c r="C381" s="7" t="s">
        <v>1460</v>
      </c>
      <c r="D381" s="7" t="s">
        <v>50</v>
      </c>
      <c r="E381" s="8" t="s">
        <v>1480</v>
      </c>
      <c r="F381" s="8"/>
      <c r="G381" s="7" t="s">
        <v>29</v>
      </c>
      <c r="H381" s="8"/>
      <c r="I381" s="9" t="s">
        <v>30</v>
      </c>
      <c r="J381" s="10"/>
      <c r="K381" s="9"/>
      <c r="L381" s="11"/>
    </row>
    <row r="382" customFormat="false" ht="23.85" hidden="false" customHeight="false" outlineLevel="0" collapsed="false">
      <c r="A382" s="7" t="s">
        <v>1481</v>
      </c>
      <c r="B382" s="8" t="s">
        <v>1482</v>
      </c>
      <c r="C382" s="7" t="s">
        <v>1460</v>
      </c>
      <c r="D382" s="7" t="s">
        <v>80</v>
      </c>
      <c r="E382" s="8" t="s">
        <v>1483</v>
      </c>
      <c r="F382" s="8" t="s">
        <v>1484</v>
      </c>
      <c r="G382" s="7" t="s">
        <v>83</v>
      </c>
      <c r="H382" s="8"/>
      <c r="I382" s="9" t="s">
        <v>30</v>
      </c>
      <c r="J382" s="10"/>
      <c r="K382" s="9"/>
      <c r="L382" s="11"/>
    </row>
    <row r="383" customFormat="false" ht="23.85" hidden="false" customHeight="false" outlineLevel="0" collapsed="false">
      <c r="A383" s="7" t="s">
        <v>1485</v>
      </c>
      <c r="B383" s="8" t="s">
        <v>1486</v>
      </c>
      <c r="C383" s="7" t="s">
        <v>1460</v>
      </c>
      <c r="D383" s="7" t="s">
        <v>80</v>
      </c>
      <c r="E383" s="8" t="s">
        <v>1487</v>
      </c>
      <c r="F383" s="8" t="s">
        <v>1488</v>
      </c>
      <c r="G383" s="7" t="s">
        <v>83</v>
      </c>
      <c r="H383" s="8"/>
      <c r="I383" s="9" t="s">
        <v>30</v>
      </c>
      <c r="J383" s="10"/>
      <c r="K383" s="9"/>
      <c r="L383" s="11"/>
    </row>
    <row r="384" customFormat="false" ht="23.85" hidden="false" customHeight="false" outlineLevel="0" collapsed="false">
      <c r="A384" s="7" t="s">
        <v>1489</v>
      </c>
      <c r="B384" s="8" t="s">
        <v>1490</v>
      </c>
      <c r="C384" s="7" t="s">
        <v>1460</v>
      </c>
      <c r="D384" s="7" t="s">
        <v>80</v>
      </c>
      <c r="E384" s="8" t="s">
        <v>1491</v>
      </c>
      <c r="F384" s="8" t="s">
        <v>1492</v>
      </c>
      <c r="G384" s="7" t="s">
        <v>83</v>
      </c>
      <c r="H384" s="8"/>
      <c r="I384" s="9" t="s">
        <v>30</v>
      </c>
      <c r="J384" s="10"/>
      <c r="K384" s="9"/>
      <c r="L384" s="11"/>
    </row>
    <row r="385" customFormat="false" ht="15" hidden="false" customHeight="false" outlineLevel="0" collapsed="false">
      <c r="A385" s="7" t="s">
        <v>1493</v>
      </c>
      <c r="B385" s="8" t="s">
        <v>1494</v>
      </c>
      <c r="C385" s="7" t="s">
        <v>1495</v>
      </c>
      <c r="D385" s="7" t="s">
        <v>27</v>
      </c>
      <c r="E385" s="8" t="s">
        <v>1496</v>
      </c>
      <c r="F385" s="8"/>
      <c r="G385" s="7" t="s">
        <v>29</v>
      </c>
      <c r="H385" s="8"/>
      <c r="I385" s="9" t="s">
        <v>30</v>
      </c>
      <c r="J385" s="10"/>
      <c r="K385" s="9"/>
      <c r="L385" s="11"/>
    </row>
    <row r="386" customFormat="false" ht="23.85" hidden="false" customHeight="false" outlineLevel="0" collapsed="false">
      <c r="A386" s="7" t="s">
        <v>1497</v>
      </c>
      <c r="B386" s="8" t="s">
        <v>1498</v>
      </c>
      <c r="C386" s="7" t="s">
        <v>1495</v>
      </c>
      <c r="D386" s="7" t="s">
        <v>33</v>
      </c>
      <c r="E386" s="8" t="s">
        <v>1499</v>
      </c>
      <c r="F386" s="8" t="s">
        <v>1500</v>
      </c>
      <c r="G386" s="7" t="s">
        <v>29</v>
      </c>
      <c r="H386" s="8"/>
      <c r="I386" s="9" t="s">
        <v>30</v>
      </c>
      <c r="J386" s="10"/>
      <c r="K386" s="9"/>
      <c r="L386" s="11"/>
    </row>
    <row r="387" customFormat="false" ht="23.85" hidden="false" customHeight="false" outlineLevel="0" collapsed="false">
      <c r="A387" s="7" t="s">
        <v>1501</v>
      </c>
      <c r="B387" s="8" t="s">
        <v>1502</v>
      </c>
      <c r="C387" s="7" t="s">
        <v>1495</v>
      </c>
      <c r="D387" s="7" t="s">
        <v>33</v>
      </c>
      <c r="E387" s="8" t="s">
        <v>1503</v>
      </c>
      <c r="F387" s="8" t="s">
        <v>1504</v>
      </c>
      <c r="G387" s="7" t="s">
        <v>29</v>
      </c>
      <c r="H387" s="8"/>
      <c r="I387" s="9" t="s">
        <v>30</v>
      </c>
      <c r="J387" s="10"/>
      <c r="K387" s="9"/>
      <c r="L387" s="11"/>
    </row>
    <row r="388" customFormat="false" ht="15" hidden="false" customHeight="false" outlineLevel="0" collapsed="false">
      <c r="A388" s="7" t="s">
        <v>1505</v>
      </c>
      <c r="B388" s="8" t="s">
        <v>1506</v>
      </c>
      <c r="C388" s="7" t="s">
        <v>1495</v>
      </c>
      <c r="D388" s="7" t="s">
        <v>33</v>
      </c>
      <c r="E388" s="8" t="s">
        <v>1507</v>
      </c>
      <c r="F388" s="8" t="s">
        <v>1508</v>
      </c>
      <c r="G388" s="7" t="s">
        <v>29</v>
      </c>
      <c r="H388" s="8"/>
      <c r="I388" s="9" t="s">
        <v>30</v>
      </c>
      <c r="J388" s="10"/>
      <c r="K388" s="9"/>
      <c r="L388" s="11"/>
    </row>
    <row r="389" customFormat="false" ht="23.85" hidden="false" customHeight="false" outlineLevel="0" collapsed="false">
      <c r="A389" s="7" t="s">
        <v>1509</v>
      </c>
      <c r="B389" s="8" t="s">
        <v>1510</v>
      </c>
      <c r="C389" s="7" t="s">
        <v>1495</v>
      </c>
      <c r="D389" s="7" t="s">
        <v>50</v>
      </c>
      <c r="E389" s="8" t="s">
        <v>1511</v>
      </c>
      <c r="F389" s="8"/>
      <c r="G389" s="7" t="s">
        <v>29</v>
      </c>
      <c r="H389" s="8"/>
      <c r="I389" s="9" t="s">
        <v>30</v>
      </c>
      <c r="J389" s="10"/>
      <c r="K389" s="9"/>
      <c r="L389" s="11"/>
    </row>
    <row r="390" customFormat="false" ht="23.85" hidden="false" customHeight="false" outlineLevel="0" collapsed="false">
      <c r="A390" s="7" t="s">
        <v>1512</v>
      </c>
      <c r="B390" s="8" t="s">
        <v>1513</v>
      </c>
      <c r="C390" s="7" t="s">
        <v>1495</v>
      </c>
      <c r="D390" s="7" t="s">
        <v>80</v>
      </c>
      <c r="E390" s="8" t="s">
        <v>1514</v>
      </c>
      <c r="F390" s="8" t="s">
        <v>1515</v>
      </c>
      <c r="G390" s="7" t="s">
        <v>83</v>
      </c>
      <c r="H390" s="8"/>
      <c r="I390" s="9" t="s">
        <v>30</v>
      </c>
      <c r="J390" s="10"/>
      <c r="K390" s="9"/>
      <c r="L390" s="11"/>
    </row>
    <row r="391" customFormat="false" ht="23.85" hidden="false" customHeight="false" outlineLevel="0" collapsed="false">
      <c r="A391" s="7" t="s">
        <v>1516</v>
      </c>
      <c r="B391" s="8" t="s">
        <v>1517</v>
      </c>
      <c r="C391" s="7" t="s">
        <v>1495</v>
      </c>
      <c r="D391" s="7" t="s">
        <v>80</v>
      </c>
      <c r="E391" s="8" t="s">
        <v>1518</v>
      </c>
      <c r="F391" s="8" t="s">
        <v>1519</v>
      </c>
      <c r="G391" s="7" t="s">
        <v>83</v>
      </c>
      <c r="H391" s="8"/>
      <c r="I391" s="9" t="s">
        <v>30</v>
      </c>
      <c r="J391" s="10"/>
      <c r="K391" s="9"/>
      <c r="L391" s="11"/>
    </row>
    <row r="392" customFormat="false" ht="23.85" hidden="false" customHeight="false" outlineLevel="0" collapsed="false">
      <c r="A392" s="7" t="s">
        <v>1520</v>
      </c>
      <c r="B392" s="8" t="s">
        <v>1521</v>
      </c>
      <c r="C392" s="7" t="s">
        <v>1495</v>
      </c>
      <c r="D392" s="7" t="s">
        <v>80</v>
      </c>
      <c r="E392" s="8" t="s">
        <v>1522</v>
      </c>
      <c r="F392" s="8" t="s">
        <v>1523</v>
      </c>
      <c r="G392" s="7" t="s">
        <v>83</v>
      </c>
      <c r="H392" s="8"/>
      <c r="I392" s="9" t="s">
        <v>30</v>
      </c>
      <c r="J392" s="10"/>
      <c r="K392" s="9"/>
      <c r="L392" s="11"/>
    </row>
    <row r="393" customFormat="false" ht="23.85" hidden="false" customHeight="false" outlineLevel="0" collapsed="false">
      <c r="A393" s="7" t="s">
        <v>1524</v>
      </c>
      <c r="B393" s="8" t="s">
        <v>1525</v>
      </c>
      <c r="C393" s="7" t="s">
        <v>1526</v>
      </c>
      <c r="D393" s="7" t="s">
        <v>27</v>
      </c>
      <c r="E393" s="8" t="s">
        <v>1527</v>
      </c>
      <c r="F393" s="8"/>
      <c r="G393" s="7" t="s">
        <v>29</v>
      </c>
      <c r="H393" s="8"/>
      <c r="I393" s="9" t="s">
        <v>30</v>
      </c>
      <c r="J393" s="10"/>
      <c r="K393" s="9"/>
      <c r="L393" s="11"/>
    </row>
    <row r="394" customFormat="false" ht="35.05" hidden="false" customHeight="false" outlineLevel="0" collapsed="false">
      <c r="A394" s="7" t="s">
        <v>1528</v>
      </c>
      <c r="B394" s="8" t="s">
        <v>1529</v>
      </c>
      <c r="C394" s="7" t="s">
        <v>1526</v>
      </c>
      <c r="D394" s="7" t="s">
        <v>33</v>
      </c>
      <c r="E394" s="8" t="s">
        <v>1530</v>
      </c>
      <c r="F394" s="8" t="s">
        <v>1531</v>
      </c>
      <c r="G394" s="7" t="s">
        <v>29</v>
      </c>
      <c r="H394" s="8" t="s">
        <v>1336</v>
      </c>
      <c r="I394" s="9" t="s">
        <v>30</v>
      </c>
      <c r="J394" s="10"/>
      <c r="K394" s="9"/>
      <c r="L394" s="11"/>
    </row>
    <row r="395" customFormat="false" ht="23.85" hidden="false" customHeight="false" outlineLevel="0" collapsed="false">
      <c r="A395" s="7" t="s">
        <v>1532</v>
      </c>
      <c r="B395" s="8" t="s">
        <v>1533</v>
      </c>
      <c r="C395" s="7" t="s">
        <v>1526</v>
      </c>
      <c r="D395" s="7" t="s">
        <v>33</v>
      </c>
      <c r="E395" s="8" t="s">
        <v>1534</v>
      </c>
      <c r="F395" s="8" t="s">
        <v>1367</v>
      </c>
      <c r="G395" s="7" t="s">
        <v>29</v>
      </c>
      <c r="H395" s="8"/>
      <c r="I395" s="9" t="s">
        <v>30</v>
      </c>
      <c r="J395" s="10"/>
      <c r="K395" s="9"/>
      <c r="L395" s="11"/>
    </row>
    <row r="396" customFormat="false" ht="23.85" hidden="false" customHeight="false" outlineLevel="0" collapsed="false">
      <c r="A396" s="7" t="s">
        <v>1535</v>
      </c>
      <c r="B396" s="8" t="s">
        <v>1536</v>
      </c>
      <c r="C396" s="7" t="s">
        <v>1526</v>
      </c>
      <c r="D396" s="7" t="s">
        <v>33</v>
      </c>
      <c r="E396" s="8" t="s">
        <v>1537</v>
      </c>
      <c r="F396" s="8" t="s">
        <v>1538</v>
      </c>
      <c r="G396" s="7" t="s">
        <v>29</v>
      </c>
      <c r="H396" s="8"/>
      <c r="I396" s="9" t="s">
        <v>30</v>
      </c>
      <c r="J396" s="10"/>
      <c r="K396" s="9"/>
      <c r="L396" s="11"/>
    </row>
    <row r="397" customFormat="false" ht="23.85" hidden="false" customHeight="false" outlineLevel="0" collapsed="false">
      <c r="A397" s="7" t="s">
        <v>1539</v>
      </c>
      <c r="B397" s="8" t="s">
        <v>1540</v>
      </c>
      <c r="C397" s="7" t="s">
        <v>1526</v>
      </c>
      <c r="D397" s="7" t="s">
        <v>33</v>
      </c>
      <c r="E397" s="8" t="s">
        <v>1541</v>
      </c>
      <c r="F397" s="8" t="s">
        <v>1542</v>
      </c>
      <c r="G397" s="7" t="s">
        <v>29</v>
      </c>
      <c r="H397" s="8"/>
      <c r="I397" s="9" t="s">
        <v>30</v>
      </c>
      <c r="J397" s="10"/>
      <c r="K397" s="9"/>
      <c r="L397" s="11"/>
    </row>
    <row r="398" customFormat="false" ht="23.85" hidden="false" customHeight="false" outlineLevel="0" collapsed="false">
      <c r="A398" s="7" t="s">
        <v>1543</v>
      </c>
      <c r="B398" s="8" t="s">
        <v>1544</v>
      </c>
      <c r="C398" s="7" t="s">
        <v>1526</v>
      </c>
      <c r="D398" s="7" t="s">
        <v>50</v>
      </c>
      <c r="E398" s="8" t="s">
        <v>1545</v>
      </c>
      <c r="F398" s="8"/>
      <c r="G398" s="7" t="s">
        <v>29</v>
      </c>
      <c r="H398" s="8"/>
      <c r="I398" s="9" t="s">
        <v>30</v>
      </c>
      <c r="J398" s="10"/>
      <c r="K398" s="9"/>
      <c r="L398" s="11"/>
    </row>
    <row r="399" customFormat="false" ht="23.85" hidden="false" customHeight="false" outlineLevel="0" collapsed="false">
      <c r="A399" s="7" t="s">
        <v>1546</v>
      </c>
      <c r="B399" s="8" t="s">
        <v>1547</v>
      </c>
      <c r="C399" s="7" t="s">
        <v>1526</v>
      </c>
      <c r="D399" s="7" t="s">
        <v>80</v>
      </c>
      <c r="E399" s="8" t="s">
        <v>1548</v>
      </c>
      <c r="F399" s="8" t="s">
        <v>1549</v>
      </c>
      <c r="G399" s="7" t="s">
        <v>83</v>
      </c>
      <c r="H399" s="8" t="s">
        <v>1336</v>
      </c>
      <c r="I399" s="9" t="s">
        <v>30</v>
      </c>
      <c r="J399" s="10"/>
      <c r="K399" s="9"/>
      <c r="L399" s="11"/>
    </row>
    <row r="400" customFormat="false" ht="35.05" hidden="false" customHeight="false" outlineLevel="0" collapsed="false">
      <c r="A400" s="7" t="s">
        <v>1550</v>
      </c>
      <c r="B400" s="8" t="s">
        <v>1551</v>
      </c>
      <c r="C400" s="7" t="s">
        <v>1526</v>
      </c>
      <c r="D400" s="7" t="s">
        <v>80</v>
      </c>
      <c r="E400" s="8" t="s">
        <v>1552</v>
      </c>
      <c r="F400" s="8" t="s">
        <v>1553</v>
      </c>
      <c r="G400" s="7" t="s">
        <v>83</v>
      </c>
      <c r="H400" s="8"/>
      <c r="I400" s="9" t="s">
        <v>30</v>
      </c>
      <c r="J400" s="10"/>
      <c r="K400" s="9"/>
      <c r="L400" s="11"/>
    </row>
    <row r="401" customFormat="false" ht="23.85" hidden="false" customHeight="false" outlineLevel="0" collapsed="false">
      <c r="A401" s="7" t="s">
        <v>1554</v>
      </c>
      <c r="B401" s="8" t="s">
        <v>1555</v>
      </c>
      <c r="C401" s="7" t="s">
        <v>1526</v>
      </c>
      <c r="D401" s="7" t="s">
        <v>80</v>
      </c>
      <c r="E401" s="8" t="s">
        <v>1556</v>
      </c>
      <c r="F401" s="8" t="s">
        <v>1557</v>
      </c>
      <c r="G401" s="7" t="s">
        <v>83</v>
      </c>
      <c r="H401" s="8"/>
      <c r="I401" s="9" t="s">
        <v>30</v>
      </c>
      <c r="J401" s="10"/>
      <c r="K401" s="9"/>
      <c r="L401" s="11"/>
    </row>
    <row r="402" customFormat="false" ht="15" hidden="false" customHeight="false" outlineLevel="0" collapsed="false">
      <c r="A402" s="7" t="s">
        <v>1558</v>
      </c>
      <c r="B402" s="8" t="s">
        <v>1559</v>
      </c>
      <c r="C402" s="7" t="s">
        <v>1560</v>
      </c>
      <c r="D402" s="7" t="s">
        <v>27</v>
      </c>
      <c r="E402" s="8" t="s">
        <v>1561</v>
      </c>
      <c r="F402" s="8"/>
      <c r="G402" s="7" t="s">
        <v>29</v>
      </c>
      <c r="H402" s="8"/>
      <c r="I402" s="9" t="s">
        <v>30</v>
      </c>
      <c r="J402" s="10"/>
      <c r="K402" s="9"/>
      <c r="L402" s="11"/>
    </row>
    <row r="403" customFormat="false" ht="23.85" hidden="false" customHeight="false" outlineLevel="0" collapsed="false">
      <c r="A403" s="7" t="s">
        <v>1562</v>
      </c>
      <c r="B403" s="8" t="s">
        <v>1563</v>
      </c>
      <c r="C403" s="7" t="s">
        <v>1560</v>
      </c>
      <c r="D403" s="7" t="s">
        <v>33</v>
      </c>
      <c r="E403" s="8" t="s">
        <v>1564</v>
      </c>
      <c r="F403" s="8" t="s">
        <v>1565</v>
      </c>
      <c r="G403" s="7" t="s">
        <v>29</v>
      </c>
      <c r="H403" s="8"/>
      <c r="I403" s="9" t="s">
        <v>30</v>
      </c>
      <c r="J403" s="10"/>
      <c r="K403" s="9"/>
      <c r="L403" s="11"/>
    </row>
    <row r="404" customFormat="false" ht="23.85" hidden="false" customHeight="false" outlineLevel="0" collapsed="false">
      <c r="A404" s="7" t="s">
        <v>1566</v>
      </c>
      <c r="B404" s="8" t="s">
        <v>1567</v>
      </c>
      <c r="C404" s="7" t="s">
        <v>1560</v>
      </c>
      <c r="D404" s="7" t="s">
        <v>33</v>
      </c>
      <c r="E404" s="8" t="s">
        <v>1568</v>
      </c>
      <c r="F404" s="8" t="s">
        <v>1569</v>
      </c>
      <c r="G404" s="7" t="s">
        <v>29</v>
      </c>
      <c r="H404" s="8"/>
      <c r="I404" s="9" t="s">
        <v>30</v>
      </c>
      <c r="J404" s="10"/>
      <c r="K404" s="9"/>
      <c r="L404" s="11"/>
    </row>
    <row r="405" customFormat="false" ht="15" hidden="false" customHeight="false" outlineLevel="0" collapsed="false">
      <c r="A405" s="7" t="s">
        <v>1570</v>
      </c>
      <c r="B405" s="8" t="s">
        <v>1571</v>
      </c>
      <c r="C405" s="7" t="s">
        <v>1560</v>
      </c>
      <c r="D405" s="7" t="s">
        <v>33</v>
      </c>
      <c r="E405" s="8" t="s">
        <v>1572</v>
      </c>
      <c r="F405" s="8" t="s">
        <v>1573</v>
      </c>
      <c r="G405" s="7" t="s">
        <v>29</v>
      </c>
      <c r="H405" s="8"/>
      <c r="I405" s="9" t="s">
        <v>30</v>
      </c>
      <c r="J405" s="10"/>
      <c r="K405" s="9"/>
      <c r="L405" s="11"/>
    </row>
    <row r="406" customFormat="false" ht="23.85" hidden="false" customHeight="false" outlineLevel="0" collapsed="false">
      <c r="A406" s="7" t="s">
        <v>1574</v>
      </c>
      <c r="B406" s="8" t="s">
        <v>1575</v>
      </c>
      <c r="C406" s="7" t="s">
        <v>1560</v>
      </c>
      <c r="D406" s="7" t="s">
        <v>33</v>
      </c>
      <c r="E406" s="8" t="s">
        <v>1576</v>
      </c>
      <c r="F406" s="8" t="s">
        <v>1577</v>
      </c>
      <c r="G406" s="7" t="s">
        <v>29</v>
      </c>
      <c r="H406" s="8"/>
      <c r="I406" s="9" t="s">
        <v>30</v>
      </c>
      <c r="J406" s="10"/>
      <c r="K406" s="9"/>
      <c r="L406" s="11"/>
    </row>
    <row r="407" customFormat="false" ht="23.85" hidden="false" customHeight="false" outlineLevel="0" collapsed="false">
      <c r="A407" s="7" t="s">
        <v>1578</v>
      </c>
      <c r="B407" s="8" t="s">
        <v>1579</v>
      </c>
      <c r="C407" s="7" t="s">
        <v>1560</v>
      </c>
      <c r="D407" s="7" t="s">
        <v>50</v>
      </c>
      <c r="E407" s="8" t="s">
        <v>1580</v>
      </c>
      <c r="F407" s="8"/>
      <c r="G407" s="7" t="s">
        <v>29</v>
      </c>
      <c r="H407" s="8"/>
      <c r="I407" s="9" t="s">
        <v>30</v>
      </c>
      <c r="J407" s="10"/>
      <c r="K407" s="9"/>
      <c r="L407" s="11"/>
    </row>
    <row r="408" customFormat="false" ht="23.85" hidden="false" customHeight="false" outlineLevel="0" collapsed="false">
      <c r="A408" s="7" t="s">
        <v>1581</v>
      </c>
      <c r="B408" s="8" t="s">
        <v>1582</v>
      </c>
      <c r="C408" s="7" t="s">
        <v>1560</v>
      </c>
      <c r="D408" s="7" t="s">
        <v>80</v>
      </c>
      <c r="E408" s="8" t="s">
        <v>1583</v>
      </c>
      <c r="F408" s="8" t="s">
        <v>1584</v>
      </c>
      <c r="G408" s="7" t="s">
        <v>83</v>
      </c>
      <c r="H408" s="8"/>
      <c r="I408" s="9" t="s">
        <v>30</v>
      </c>
      <c r="J408" s="10"/>
      <c r="K408" s="9"/>
      <c r="L408" s="11"/>
    </row>
    <row r="409" customFormat="false" ht="15" hidden="false" customHeight="false" outlineLevel="0" collapsed="false">
      <c r="A409" s="7" t="s">
        <v>1585</v>
      </c>
      <c r="B409" s="8" t="s">
        <v>1586</v>
      </c>
      <c r="C409" s="7" t="s">
        <v>1560</v>
      </c>
      <c r="D409" s="7" t="s">
        <v>80</v>
      </c>
      <c r="E409" s="8" t="s">
        <v>1587</v>
      </c>
      <c r="F409" s="8" t="s">
        <v>1588</v>
      </c>
      <c r="G409" s="7" t="s">
        <v>83</v>
      </c>
      <c r="H409" s="8"/>
      <c r="I409" s="9" t="s">
        <v>30</v>
      </c>
      <c r="J409" s="10"/>
      <c r="K409" s="9"/>
      <c r="L409" s="11"/>
    </row>
    <row r="410" customFormat="false" ht="23.85" hidden="false" customHeight="false" outlineLevel="0" collapsed="false">
      <c r="A410" s="7" t="s">
        <v>1589</v>
      </c>
      <c r="B410" s="8" t="s">
        <v>1590</v>
      </c>
      <c r="C410" s="7" t="s">
        <v>1560</v>
      </c>
      <c r="D410" s="7" t="s">
        <v>80</v>
      </c>
      <c r="E410" s="8" t="s">
        <v>1591</v>
      </c>
      <c r="F410" s="8" t="s">
        <v>1592</v>
      </c>
      <c r="G410" s="7" t="s">
        <v>83</v>
      </c>
      <c r="H410" s="8"/>
      <c r="I410" s="9" t="s">
        <v>30</v>
      </c>
      <c r="J410" s="10"/>
      <c r="K410" s="9"/>
      <c r="L410" s="11"/>
    </row>
    <row r="411" customFormat="false" ht="23.85" hidden="false" customHeight="false" outlineLevel="0" collapsed="false">
      <c r="A411" s="7" t="s">
        <v>1593</v>
      </c>
      <c r="B411" s="8" t="s">
        <v>1594</v>
      </c>
      <c r="C411" s="7" t="s">
        <v>1595</v>
      </c>
      <c r="D411" s="7" t="s">
        <v>27</v>
      </c>
      <c r="E411" s="8" t="s">
        <v>1596</v>
      </c>
      <c r="F411" s="8"/>
      <c r="G411" s="7" t="s">
        <v>29</v>
      </c>
      <c r="H411" s="8"/>
      <c r="I411" s="9" t="s">
        <v>30</v>
      </c>
      <c r="J411" s="10"/>
      <c r="K411" s="9"/>
      <c r="L411" s="11"/>
    </row>
    <row r="412" customFormat="false" ht="23.85" hidden="false" customHeight="false" outlineLevel="0" collapsed="false">
      <c r="A412" s="7" t="s">
        <v>1597</v>
      </c>
      <c r="B412" s="8" t="s">
        <v>1598</v>
      </c>
      <c r="C412" s="7" t="s">
        <v>1595</v>
      </c>
      <c r="D412" s="7" t="s">
        <v>33</v>
      </c>
      <c r="E412" s="8" t="s">
        <v>1599</v>
      </c>
      <c r="F412" s="8" t="s">
        <v>1600</v>
      </c>
      <c r="G412" s="7" t="s">
        <v>29</v>
      </c>
      <c r="H412" s="8"/>
      <c r="I412" s="9" t="s">
        <v>30</v>
      </c>
      <c r="J412" s="10"/>
      <c r="K412" s="9"/>
      <c r="L412" s="11"/>
    </row>
    <row r="413" customFormat="false" ht="23.85" hidden="false" customHeight="false" outlineLevel="0" collapsed="false">
      <c r="A413" s="7" t="s">
        <v>1601</v>
      </c>
      <c r="B413" s="8" t="s">
        <v>1602</v>
      </c>
      <c r="C413" s="7" t="s">
        <v>1595</v>
      </c>
      <c r="D413" s="7" t="s">
        <v>33</v>
      </c>
      <c r="E413" s="8" t="s">
        <v>1603</v>
      </c>
      <c r="F413" s="8" t="s">
        <v>1604</v>
      </c>
      <c r="G413" s="7" t="s">
        <v>29</v>
      </c>
      <c r="H413" s="8"/>
      <c r="I413" s="9" t="s">
        <v>30</v>
      </c>
      <c r="J413" s="10"/>
      <c r="K413" s="9"/>
      <c r="L413" s="11"/>
    </row>
    <row r="414" customFormat="false" ht="15" hidden="false" customHeight="false" outlineLevel="0" collapsed="false">
      <c r="A414" s="7" t="s">
        <v>1605</v>
      </c>
      <c r="B414" s="8" t="s">
        <v>1606</v>
      </c>
      <c r="C414" s="7" t="s">
        <v>1595</v>
      </c>
      <c r="D414" s="7" t="s">
        <v>33</v>
      </c>
      <c r="E414" s="8" t="s">
        <v>1607</v>
      </c>
      <c r="F414" s="8" t="s">
        <v>1608</v>
      </c>
      <c r="G414" s="7" t="s">
        <v>29</v>
      </c>
      <c r="H414" s="8"/>
      <c r="I414" s="9" t="s">
        <v>30</v>
      </c>
      <c r="J414" s="10"/>
      <c r="K414" s="9"/>
      <c r="L414" s="11"/>
    </row>
    <row r="415" customFormat="false" ht="23.85" hidden="false" customHeight="false" outlineLevel="0" collapsed="false">
      <c r="A415" s="7" t="s">
        <v>1609</v>
      </c>
      <c r="B415" s="8" t="s">
        <v>1610</v>
      </c>
      <c r="C415" s="7" t="s">
        <v>1595</v>
      </c>
      <c r="D415" s="7" t="s">
        <v>33</v>
      </c>
      <c r="E415" s="8" t="s">
        <v>1611</v>
      </c>
      <c r="F415" s="8" t="s">
        <v>1612</v>
      </c>
      <c r="G415" s="7" t="s">
        <v>29</v>
      </c>
      <c r="H415" s="8"/>
      <c r="I415" s="9" t="s">
        <v>30</v>
      </c>
      <c r="J415" s="10"/>
      <c r="K415" s="9"/>
      <c r="L415" s="11"/>
    </row>
    <row r="416" customFormat="false" ht="23.85" hidden="false" customHeight="false" outlineLevel="0" collapsed="false">
      <c r="A416" s="7" t="s">
        <v>1613</v>
      </c>
      <c r="B416" s="8" t="s">
        <v>1614</v>
      </c>
      <c r="C416" s="7" t="s">
        <v>1595</v>
      </c>
      <c r="D416" s="7" t="s">
        <v>50</v>
      </c>
      <c r="E416" s="8" t="s">
        <v>1615</v>
      </c>
      <c r="F416" s="8"/>
      <c r="G416" s="7" t="s">
        <v>29</v>
      </c>
      <c r="H416" s="8"/>
      <c r="I416" s="9" t="s">
        <v>30</v>
      </c>
      <c r="J416" s="10"/>
      <c r="K416" s="9"/>
      <c r="L416" s="11"/>
    </row>
    <row r="417" customFormat="false" ht="23.85" hidden="false" customHeight="false" outlineLevel="0" collapsed="false">
      <c r="A417" s="7" t="s">
        <v>1616</v>
      </c>
      <c r="B417" s="8" t="s">
        <v>1617</v>
      </c>
      <c r="C417" s="7" t="s">
        <v>1595</v>
      </c>
      <c r="D417" s="7" t="s">
        <v>80</v>
      </c>
      <c r="E417" s="8" t="s">
        <v>1618</v>
      </c>
      <c r="F417" s="8" t="s">
        <v>1619</v>
      </c>
      <c r="G417" s="7" t="s">
        <v>83</v>
      </c>
      <c r="H417" s="8"/>
      <c r="I417" s="9" t="s">
        <v>30</v>
      </c>
      <c r="J417" s="10"/>
      <c r="K417" s="9"/>
      <c r="L417" s="11"/>
    </row>
    <row r="418" customFormat="false" ht="23.85" hidden="false" customHeight="false" outlineLevel="0" collapsed="false">
      <c r="A418" s="7" t="s">
        <v>1620</v>
      </c>
      <c r="B418" s="8" t="s">
        <v>1621</v>
      </c>
      <c r="C418" s="7" t="s">
        <v>1595</v>
      </c>
      <c r="D418" s="7" t="s">
        <v>80</v>
      </c>
      <c r="E418" s="8" t="s">
        <v>1622</v>
      </c>
      <c r="F418" s="8" t="s">
        <v>1623</v>
      </c>
      <c r="G418" s="7" t="s">
        <v>83</v>
      </c>
      <c r="H418" s="8"/>
      <c r="I418" s="9" t="s">
        <v>30</v>
      </c>
      <c r="J418" s="10"/>
      <c r="K418" s="9"/>
      <c r="L418" s="11"/>
    </row>
    <row r="419" customFormat="false" ht="23.85" hidden="false" customHeight="false" outlineLevel="0" collapsed="false">
      <c r="A419" s="7" t="s">
        <v>1624</v>
      </c>
      <c r="B419" s="8" t="s">
        <v>1625</v>
      </c>
      <c r="C419" s="7" t="s">
        <v>1595</v>
      </c>
      <c r="D419" s="7" t="s">
        <v>80</v>
      </c>
      <c r="E419" s="8" t="s">
        <v>1626</v>
      </c>
      <c r="F419" s="8" t="s">
        <v>1627</v>
      </c>
      <c r="G419" s="7" t="s">
        <v>83</v>
      </c>
      <c r="H419" s="8"/>
      <c r="I419" s="9" t="s">
        <v>30</v>
      </c>
      <c r="J419" s="10"/>
      <c r="K419" s="9"/>
      <c r="L419" s="11"/>
    </row>
    <row r="420" customFormat="false" ht="23.85" hidden="false" customHeight="false" outlineLevel="0" collapsed="false">
      <c r="A420" s="7" t="s">
        <v>1628</v>
      </c>
      <c r="B420" s="8" t="s">
        <v>1629</v>
      </c>
      <c r="C420" s="7" t="s">
        <v>1630</v>
      </c>
      <c r="D420" s="7" t="s">
        <v>27</v>
      </c>
      <c r="E420" s="8" t="s">
        <v>1631</v>
      </c>
      <c r="F420" s="8"/>
      <c r="G420" s="7" t="s">
        <v>29</v>
      </c>
      <c r="H420" s="8"/>
      <c r="I420" s="9" t="s">
        <v>30</v>
      </c>
      <c r="J420" s="10"/>
      <c r="K420" s="9"/>
      <c r="L420" s="11"/>
    </row>
    <row r="421" customFormat="false" ht="23.85" hidden="false" customHeight="false" outlineLevel="0" collapsed="false">
      <c r="A421" s="7" t="s">
        <v>1632</v>
      </c>
      <c r="B421" s="8" t="s">
        <v>1633</v>
      </c>
      <c r="C421" s="7" t="s">
        <v>1630</v>
      </c>
      <c r="D421" s="7" t="s">
        <v>33</v>
      </c>
      <c r="E421" s="8" t="s">
        <v>1634</v>
      </c>
      <c r="F421" s="8" t="s">
        <v>1635</v>
      </c>
      <c r="G421" s="7" t="s">
        <v>29</v>
      </c>
      <c r="H421" s="8"/>
      <c r="I421" s="9" t="s">
        <v>30</v>
      </c>
      <c r="J421" s="10"/>
      <c r="K421" s="9"/>
      <c r="L421" s="11"/>
    </row>
    <row r="422" customFormat="false" ht="23.85" hidden="false" customHeight="false" outlineLevel="0" collapsed="false">
      <c r="A422" s="7" t="s">
        <v>1636</v>
      </c>
      <c r="B422" s="8" t="s">
        <v>1637</v>
      </c>
      <c r="C422" s="7" t="s">
        <v>1630</v>
      </c>
      <c r="D422" s="7" t="s">
        <v>33</v>
      </c>
      <c r="E422" s="8" t="s">
        <v>1638</v>
      </c>
      <c r="F422" s="8"/>
      <c r="G422" s="7" t="s">
        <v>29</v>
      </c>
      <c r="H422" s="8" t="s">
        <v>1336</v>
      </c>
      <c r="I422" s="9" t="s">
        <v>30</v>
      </c>
      <c r="J422" s="10"/>
      <c r="K422" s="9"/>
      <c r="L422" s="11"/>
    </row>
    <row r="423" customFormat="false" ht="15" hidden="false" customHeight="false" outlineLevel="0" collapsed="false">
      <c r="A423" s="7" t="s">
        <v>1639</v>
      </c>
      <c r="B423" s="8" t="s">
        <v>1640</v>
      </c>
      <c r="C423" s="7" t="s">
        <v>1630</v>
      </c>
      <c r="D423" s="7" t="s">
        <v>33</v>
      </c>
      <c r="E423" s="8" t="s">
        <v>1641</v>
      </c>
      <c r="F423" s="8"/>
      <c r="G423" s="7" t="s">
        <v>29</v>
      </c>
      <c r="H423" s="8"/>
      <c r="I423" s="9" t="s">
        <v>30</v>
      </c>
      <c r="J423" s="10"/>
      <c r="K423" s="9"/>
      <c r="L423" s="11"/>
    </row>
    <row r="424" customFormat="false" ht="23.85" hidden="false" customHeight="false" outlineLevel="0" collapsed="false">
      <c r="A424" s="7" t="s">
        <v>1642</v>
      </c>
      <c r="B424" s="8" t="s">
        <v>1643</v>
      </c>
      <c r="C424" s="7" t="s">
        <v>1630</v>
      </c>
      <c r="D424" s="7" t="s">
        <v>33</v>
      </c>
      <c r="E424" s="8" t="s">
        <v>1644</v>
      </c>
      <c r="F424" s="8" t="s">
        <v>1645</v>
      </c>
      <c r="G424" s="7" t="s">
        <v>29</v>
      </c>
      <c r="H424" s="8"/>
      <c r="I424" s="9" t="s">
        <v>30</v>
      </c>
      <c r="J424" s="10"/>
      <c r="K424" s="9"/>
      <c r="L424" s="11"/>
    </row>
    <row r="425" customFormat="false" ht="23.85" hidden="false" customHeight="false" outlineLevel="0" collapsed="false">
      <c r="A425" s="7" t="s">
        <v>1646</v>
      </c>
      <c r="B425" s="8" t="s">
        <v>1647</v>
      </c>
      <c r="C425" s="7" t="s">
        <v>1630</v>
      </c>
      <c r="D425" s="7" t="s">
        <v>50</v>
      </c>
      <c r="E425" s="8" t="s">
        <v>1648</v>
      </c>
      <c r="F425" s="8"/>
      <c r="G425" s="7" t="s">
        <v>29</v>
      </c>
      <c r="H425" s="8"/>
      <c r="I425" s="9" t="s">
        <v>30</v>
      </c>
      <c r="J425" s="10"/>
      <c r="K425" s="9"/>
      <c r="L425" s="11"/>
    </row>
    <row r="426" customFormat="false" ht="23.85" hidden="false" customHeight="false" outlineLevel="0" collapsed="false">
      <c r="A426" s="7" t="s">
        <v>1649</v>
      </c>
      <c r="B426" s="8" t="s">
        <v>1650</v>
      </c>
      <c r="C426" s="7" t="s">
        <v>1630</v>
      </c>
      <c r="D426" s="7" t="s">
        <v>80</v>
      </c>
      <c r="E426" s="8" t="s">
        <v>1651</v>
      </c>
      <c r="F426" s="8" t="s">
        <v>1652</v>
      </c>
      <c r="G426" s="7" t="s">
        <v>83</v>
      </c>
      <c r="H426" s="8"/>
      <c r="I426" s="9" t="s">
        <v>30</v>
      </c>
      <c r="J426" s="10"/>
      <c r="K426" s="9"/>
      <c r="L426" s="11"/>
    </row>
    <row r="427" customFormat="false" ht="23.85" hidden="false" customHeight="false" outlineLevel="0" collapsed="false">
      <c r="A427" s="7" t="s">
        <v>1653</v>
      </c>
      <c r="B427" s="8" t="s">
        <v>1654</v>
      </c>
      <c r="C427" s="7" t="s">
        <v>1630</v>
      </c>
      <c r="D427" s="7" t="s">
        <v>80</v>
      </c>
      <c r="E427" s="8" t="s">
        <v>1655</v>
      </c>
      <c r="F427" s="8" t="s">
        <v>1656</v>
      </c>
      <c r="G427" s="7" t="s">
        <v>83</v>
      </c>
      <c r="H427" s="8" t="s">
        <v>1336</v>
      </c>
      <c r="I427" s="9" t="s">
        <v>30</v>
      </c>
      <c r="J427" s="10"/>
      <c r="K427" s="9"/>
      <c r="L427" s="11"/>
    </row>
    <row r="428" customFormat="false" ht="23.85" hidden="false" customHeight="false" outlineLevel="0" collapsed="false">
      <c r="A428" s="7" t="s">
        <v>1657</v>
      </c>
      <c r="B428" s="8" t="s">
        <v>1658</v>
      </c>
      <c r="C428" s="7" t="s">
        <v>1630</v>
      </c>
      <c r="D428" s="7" t="s">
        <v>80</v>
      </c>
      <c r="E428" s="8" t="s">
        <v>1659</v>
      </c>
      <c r="F428" s="8" t="s">
        <v>1660</v>
      </c>
      <c r="G428" s="7" t="s">
        <v>83</v>
      </c>
      <c r="H428" s="8" t="s">
        <v>1336</v>
      </c>
      <c r="I428" s="9" t="s">
        <v>30</v>
      </c>
      <c r="J428" s="10"/>
      <c r="K428" s="9"/>
      <c r="L428" s="11"/>
    </row>
    <row r="429" customFormat="false" ht="23.85" hidden="false" customHeight="false" outlineLevel="0" collapsed="false">
      <c r="A429" s="7" t="s">
        <v>1661</v>
      </c>
      <c r="B429" s="8" t="s">
        <v>1662</v>
      </c>
      <c r="C429" s="7" t="s">
        <v>1663</v>
      </c>
      <c r="D429" s="7" t="s">
        <v>27</v>
      </c>
      <c r="E429" s="8" t="s">
        <v>1664</v>
      </c>
      <c r="F429" s="8"/>
      <c r="G429" s="7" t="s">
        <v>29</v>
      </c>
      <c r="H429" s="8"/>
      <c r="I429" s="9" t="s">
        <v>30</v>
      </c>
      <c r="J429" s="10"/>
      <c r="K429" s="9"/>
      <c r="L429" s="11"/>
    </row>
    <row r="430" customFormat="false" ht="23.85" hidden="false" customHeight="false" outlineLevel="0" collapsed="false">
      <c r="A430" s="7" t="s">
        <v>1665</v>
      </c>
      <c r="B430" s="8" t="s">
        <v>1666</v>
      </c>
      <c r="C430" s="7" t="s">
        <v>1663</v>
      </c>
      <c r="D430" s="7" t="s">
        <v>33</v>
      </c>
      <c r="E430" s="8" t="s">
        <v>1667</v>
      </c>
      <c r="F430" s="8" t="s">
        <v>1004</v>
      </c>
      <c r="G430" s="7" t="s">
        <v>29</v>
      </c>
      <c r="H430" s="8"/>
      <c r="I430" s="9" t="s">
        <v>30</v>
      </c>
      <c r="J430" s="10"/>
      <c r="K430" s="9"/>
      <c r="L430" s="11"/>
    </row>
    <row r="431" customFormat="false" ht="35.05" hidden="false" customHeight="false" outlineLevel="0" collapsed="false">
      <c r="A431" s="7" t="s">
        <v>1668</v>
      </c>
      <c r="B431" s="8" t="s">
        <v>1669</v>
      </c>
      <c r="C431" s="7" t="s">
        <v>1663</v>
      </c>
      <c r="D431" s="7" t="s">
        <v>33</v>
      </c>
      <c r="E431" s="8" t="s">
        <v>1670</v>
      </c>
      <c r="F431" s="8" t="s">
        <v>1671</v>
      </c>
      <c r="G431" s="7" t="s">
        <v>29</v>
      </c>
      <c r="H431" s="8"/>
      <c r="I431" s="9" t="s">
        <v>30</v>
      </c>
      <c r="J431" s="10"/>
      <c r="K431" s="9"/>
      <c r="L431" s="11"/>
    </row>
    <row r="432" customFormat="false" ht="23.85" hidden="false" customHeight="false" outlineLevel="0" collapsed="false">
      <c r="A432" s="7" t="s">
        <v>1672</v>
      </c>
      <c r="B432" s="8" t="s">
        <v>1673</v>
      </c>
      <c r="C432" s="7" t="s">
        <v>1663</v>
      </c>
      <c r="D432" s="7" t="s">
        <v>33</v>
      </c>
      <c r="E432" s="8" t="s">
        <v>1674</v>
      </c>
      <c r="F432" s="8" t="s">
        <v>1675</v>
      </c>
      <c r="G432" s="7" t="s">
        <v>29</v>
      </c>
      <c r="H432" s="8"/>
      <c r="I432" s="9" t="s">
        <v>30</v>
      </c>
      <c r="J432" s="10"/>
      <c r="K432" s="9"/>
      <c r="L432" s="11"/>
    </row>
    <row r="433" customFormat="false" ht="23.85" hidden="false" customHeight="false" outlineLevel="0" collapsed="false">
      <c r="A433" s="7" t="s">
        <v>1676</v>
      </c>
      <c r="B433" s="8" t="s">
        <v>1677</v>
      </c>
      <c r="C433" s="7" t="s">
        <v>1663</v>
      </c>
      <c r="D433" s="7" t="s">
        <v>33</v>
      </c>
      <c r="E433" s="8" t="s">
        <v>1472</v>
      </c>
      <c r="F433" s="8" t="s">
        <v>1473</v>
      </c>
      <c r="G433" s="7" t="s">
        <v>29</v>
      </c>
      <c r="H433" s="8"/>
      <c r="I433" s="9" t="s">
        <v>30</v>
      </c>
      <c r="J433" s="10"/>
      <c r="K433" s="9"/>
      <c r="L433" s="11"/>
    </row>
    <row r="434" customFormat="false" ht="35.05" hidden="false" customHeight="false" outlineLevel="0" collapsed="false">
      <c r="A434" s="7" t="s">
        <v>1678</v>
      </c>
      <c r="B434" s="8" t="s">
        <v>1679</v>
      </c>
      <c r="C434" s="7" t="s">
        <v>1663</v>
      </c>
      <c r="D434" s="7" t="s">
        <v>33</v>
      </c>
      <c r="E434" s="8" t="s">
        <v>1680</v>
      </c>
      <c r="F434" s="8" t="s">
        <v>1681</v>
      </c>
      <c r="G434" s="7" t="s">
        <v>29</v>
      </c>
      <c r="H434" s="8" t="s">
        <v>1682</v>
      </c>
      <c r="I434" s="9" t="s">
        <v>30</v>
      </c>
      <c r="J434" s="10"/>
      <c r="K434" s="9"/>
      <c r="L434" s="11"/>
    </row>
    <row r="435" customFormat="false" ht="23.85" hidden="false" customHeight="false" outlineLevel="0" collapsed="false">
      <c r="A435" s="7" t="s">
        <v>1683</v>
      </c>
      <c r="B435" s="8" t="s">
        <v>1684</v>
      </c>
      <c r="C435" s="7" t="s">
        <v>1663</v>
      </c>
      <c r="D435" s="7" t="s">
        <v>50</v>
      </c>
      <c r="E435" s="8" t="s">
        <v>1685</v>
      </c>
      <c r="F435" s="8"/>
      <c r="G435" s="7" t="s">
        <v>29</v>
      </c>
      <c r="H435" s="8"/>
      <c r="I435" s="9" t="s">
        <v>30</v>
      </c>
      <c r="J435" s="10"/>
      <c r="K435" s="9"/>
      <c r="L435" s="11"/>
    </row>
    <row r="436" customFormat="false" ht="23.85" hidden="false" customHeight="false" outlineLevel="0" collapsed="false">
      <c r="A436" s="7" t="s">
        <v>1686</v>
      </c>
      <c r="B436" s="8" t="s">
        <v>1687</v>
      </c>
      <c r="C436" s="7" t="s">
        <v>1663</v>
      </c>
      <c r="D436" s="7" t="s">
        <v>80</v>
      </c>
      <c r="E436" s="8" t="s">
        <v>1688</v>
      </c>
      <c r="F436" s="8" t="s">
        <v>1689</v>
      </c>
      <c r="G436" s="7" t="s">
        <v>83</v>
      </c>
      <c r="H436" s="8"/>
      <c r="I436" s="9" t="s">
        <v>30</v>
      </c>
      <c r="J436" s="10"/>
      <c r="K436" s="9"/>
      <c r="L436" s="11"/>
    </row>
    <row r="437" customFormat="false" ht="23.85" hidden="false" customHeight="false" outlineLevel="0" collapsed="false">
      <c r="A437" s="7" t="s">
        <v>1690</v>
      </c>
      <c r="B437" s="8" t="s">
        <v>1691</v>
      </c>
      <c r="C437" s="7" t="s">
        <v>1663</v>
      </c>
      <c r="D437" s="7" t="s">
        <v>80</v>
      </c>
      <c r="E437" s="8" t="s">
        <v>1692</v>
      </c>
      <c r="F437" s="8" t="s">
        <v>1693</v>
      </c>
      <c r="G437" s="7" t="s">
        <v>83</v>
      </c>
      <c r="H437" s="8"/>
      <c r="I437" s="9" t="s">
        <v>30</v>
      </c>
      <c r="J437" s="10"/>
      <c r="K437" s="9"/>
      <c r="L437" s="11"/>
    </row>
    <row r="438" customFormat="false" ht="35.05" hidden="false" customHeight="false" outlineLevel="0" collapsed="false">
      <c r="A438" s="7" t="s">
        <v>1694</v>
      </c>
      <c r="B438" s="8" t="s">
        <v>1695</v>
      </c>
      <c r="C438" s="7" t="s">
        <v>1663</v>
      </c>
      <c r="D438" s="7" t="s">
        <v>80</v>
      </c>
      <c r="E438" s="8" t="s">
        <v>1696</v>
      </c>
      <c r="F438" s="8" t="s">
        <v>1697</v>
      </c>
      <c r="G438" s="7" t="s">
        <v>83</v>
      </c>
      <c r="H438" s="8" t="s">
        <v>1682</v>
      </c>
      <c r="I438" s="9" t="s">
        <v>30</v>
      </c>
      <c r="J438" s="10"/>
      <c r="K438" s="9"/>
      <c r="L438" s="11"/>
    </row>
    <row r="439" customFormat="false" ht="15" hidden="false" customHeight="false" outlineLevel="0" collapsed="false">
      <c r="A439" s="7" t="s">
        <v>1698</v>
      </c>
      <c r="B439" s="8" t="s">
        <v>1699</v>
      </c>
      <c r="C439" s="7" t="s">
        <v>1700</v>
      </c>
      <c r="D439" s="7" t="s">
        <v>27</v>
      </c>
      <c r="E439" s="8" t="s">
        <v>1701</v>
      </c>
      <c r="F439" s="8"/>
      <c r="G439" s="7" t="s">
        <v>29</v>
      </c>
      <c r="H439" s="8"/>
      <c r="I439" s="9" t="s">
        <v>30</v>
      </c>
      <c r="J439" s="10"/>
      <c r="K439" s="9"/>
      <c r="L439" s="11"/>
    </row>
    <row r="440" customFormat="false" ht="23.85" hidden="false" customHeight="false" outlineLevel="0" collapsed="false">
      <c r="A440" s="7" t="s">
        <v>1702</v>
      </c>
      <c r="B440" s="8" t="s">
        <v>1703</v>
      </c>
      <c r="C440" s="7" t="s">
        <v>1700</v>
      </c>
      <c r="D440" s="7" t="s">
        <v>33</v>
      </c>
      <c r="E440" s="8" t="s">
        <v>1704</v>
      </c>
      <c r="F440" s="8" t="s">
        <v>1705</v>
      </c>
      <c r="G440" s="7" t="s">
        <v>29</v>
      </c>
      <c r="H440" s="8"/>
      <c r="I440" s="9" t="s">
        <v>30</v>
      </c>
      <c r="J440" s="10"/>
      <c r="K440" s="9"/>
      <c r="L440" s="11"/>
    </row>
    <row r="441" customFormat="false" ht="15" hidden="false" customHeight="false" outlineLevel="0" collapsed="false">
      <c r="A441" s="7" t="s">
        <v>1706</v>
      </c>
      <c r="B441" s="8" t="s">
        <v>1707</v>
      </c>
      <c r="C441" s="7" t="s">
        <v>1700</v>
      </c>
      <c r="D441" s="7" t="s">
        <v>33</v>
      </c>
      <c r="E441" s="8" t="s">
        <v>1708</v>
      </c>
      <c r="F441" s="8" t="s">
        <v>1709</v>
      </c>
      <c r="G441" s="7" t="s">
        <v>29</v>
      </c>
      <c r="H441" s="8"/>
      <c r="I441" s="9" t="s">
        <v>30</v>
      </c>
      <c r="J441" s="10"/>
      <c r="K441" s="9"/>
      <c r="L441" s="11"/>
    </row>
    <row r="442" customFormat="false" ht="15" hidden="false" customHeight="false" outlineLevel="0" collapsed="false">
      <c r="A442" s="7" t="s">
        <v>1710</v>
      </c>
      <c r="B442" s="8" t="s">
        <v>1711</v>
      </c>
      <c r="C442" s="7" t="s">
        <v>1700</v>
      </c>
      <c r="D442" s="7" t="s">
        <v>33</v>
      </c>
      <c r="E442" s="8" t="s">
        <v>1712</v>
      </c>
      <c r="F442" s="8" t="s">
        <v>410</v>
      </c>
      <c r="G442" s="7" t="s">
        <v>29</v>
      </c>
      <c r="H442" s="8"/>
      <c r="I442" s="9" t="s">
        <v>30</v>
      </c>
      <c r="J442" s="10"/>
      <c r="K442" s="9"/>
      <c r="L442" s="11"/>
    </row>
    <row r="443" customFormat="false" ht="23.85" hidden="false" customHeight="false" outlineLevel="0" collapsed="false">
      <c r="A443" s="7" t="s">
        <v>1713</v>
      </c>
      <c r="B443" s="8" t="s">
        <v>1714</v>
      </c>
      <c r="C443" s="7" t="s">
        <v>1700</v>
      </c>
      <c r="D443" s="7" t="s">
        <v>33</v>
      </c>
      <c r="E443" s="8" t="s">
        <v>1715</v>
      </c>
      <c r="F443" s="8" t="s">
        <v>1716</v>
      </c>
      <c r="G443" s="7" t="s">
        <v>29</v>
      </c>
      <c r="H443" s="8"/>
      <c r="I443" s="9" t="s">
        <v>30</v>
      </c>
      <c r="J443" s="10"/>
      <c r="K443" s="9"/>
      <c r="L443" s="11"/>
    </row>
    <row r="444" customFormat="false" ht="23.85" hidden="false" customHeight="false" outlineLevel="0" collapsed="false">
      <c r="A444" s="7" t="s">
        <v>1717</v>
      </c>
      <c r="B444" s="8" t="s">
        <v>1718</v>
      </c>
      <c r="C444" s="7" t="s">
        <v>1700</v>
      </c>
      <c r="D444" s="7" t="s">
        <v>50</v>
      </c>
      <c r="E444" s="8" t="s">
        <v>1719</v>
      </c>
      <c r="F444" s="8"/>
      <c r="G444" s="7" t="s">
        <v>29</v>
      </c>
      <c r="H444" s="8"/>
      <c r="I444" s="9" t="s">
        <v>30</v>
      </c>
      <c r="J444" s="10"/>
      <c r="K444" s="9"/>
      <c r="L444" s="11"/>
    </row>
    <row r="445" customFormat="false" ht="23.85" hidden="false" customHeight="false" outlineLevel="0" collapsed="false">
      <c r="A445" s="7" t="s">
        <v>1720</v>
      </c>
      <c r="B445" s="8" t="s">
        <v>1721</v>
      </c>
      <c r="C445" s="7" t="s">
        <v>1700</v>
      </c>
      <c r="D445" s="7" t="s">
        <v>80</v>
      </c>
      <c r="E445" s="8" t="s">
        <v>1722</v>
      </c>
      <c r="F445" s="8" t="s">
        <v>1723</v>
      </c>
      <c r="G445" s="7" t="s">
        <v>83</v>
      </c>
      <c r="H445" s="8"/>
      <c r="I445" s="9" t="s">
        <v>30</v>
      </c>
      <c r="J445" s="10"/>
      <c r="K445" s="9"/>
      <c r="L445" s="11"/>
    </row>
    <row r="446" customFormat="false" ht="15" hidden="false" customHeight="false" outlineLevel="0" collapsed="false">
      <c r="A446" s="7" t="s">
        <v>1724</v>
      </c>
      <c r="B446" s="8" t="s">
        <v>1725</v>
      </c>
      <c r="C446" s="7" t="s">
        <v>1700</v>
      </c>
      <c r="D446" s="7" t="s">
        <v>80</v>
      </c>
      <c r="E446" s="8" t="s">
        <v>1726</v>
      </c>
      <c r="F446" s="8" t="s">
        <v>1727</v>
      </c>
      <c r="G446" s="7" t="s">
        <v>83</v>
      </c>
      <c r="H446" s="8"/>
      <c r="I446" s="9" t="s">
        <v>30</v>
      </c>
      <c r="J446" s="10"/>
      <c r="K446" s="9"/>
      <c r="L446" s="11"/>
    </row>
    <row r="447" customFormat="false" ht="23.85" hidden="false" customHeight="false" outlineLevel="0" collapsed="false">
      <c r="A447" s="7" t="s">
        <v>1728</v>
      </c>
      <c r="B447" s="8" t="s">
        <v>1729</v>
      </c>
      <c r="C447" s="7" t="s">
        <v>1700</v>
      </c>
      <c r="D447" s="7" t="s">
        <v>80</v>
      </c>
      <c r="E447" s="8" t="s">
        <v>1730</v>
      </c>
      <c r="F447" s="8" t="s">
        <v>1731</v>
      </c>
      <c r="G447" s="7" t="s">
        <v>83</v>
      </c>
      <c r="H447" s="8"/>
      <c r="I447" s="9" t="s">
        <v>30</v>
      </c>
      <c r="J447" s="10"/>
      <c r="K447" s="9"/>
      <c r="L447" s="11"/>
    </row>
    <row r="448" customFormat="false" ht="23.85" hidden="false" customHeight="false" outlineLevel="0" collapsed="false">
      <c r="A448" s="7" t="s">
        <v>1732</v>
      </c>
      <c r="B448" s="8" t="s">
        <v>1733</v>
      </c>
      <c r="C448" s="7" t="s">
        <v>1734</v>
      </c>
      <c r="D448" s="7" t="s">
        <v>27</v>
      </c>
      <c r="E448" s="8" t="s">
        <v>1735</v>
      </c>
      <c r="F448" s="8"/>
      <c r="G448" s="7" t="s">
        <v>29</v>
      </c>
      <c r="H448" s="8"/>
      <c r="I448" s="9" t="s">
        <v>30</v>
      </c>
      <c r="J448" s="10"/>
      <c r="K448" s="9"/>
      <c r="L448" s="11"/>
    </row>
    <row r="449" customFormat="false" ht="23.85" hidden="false" customHeight="false" outlineLevel="0" collapsed="false">
      <c r="A449" s="7" t="s">
        <v>1736</v>
      </c>
      <c r="B449" s="8" t="s">
        <v>1737</v>
      </c>
      <c r="C449" s="7" t="s">
        <v>1734</v>
      </c>
      <c r="D449" s="7" t="s">
        <v>33</v>
      </c>
      <c r="E449" s="8" t="s">
        <v>1738</v>
      </c>
      <c r="F449" s="8" t="s">
        <v>1739</v>
      </c>
      <c r="G449" s="7" t="s">
        <v>29</v>
      </c>
      <c r="H449" s="8"/>
      <c r="I449" s="9" t="s">
        <v>30</v>
      </c>
      <c r="J449" s="10"/>
      <c r="K449" s="9"/>
      <c r="L449" s="11"/>
    </row>
    <row r="450" customFormat="false" ht="35.05" hidden="false" customHeight="false" outlineLevel="0" collapsed="false">
      <c r="A450" s="7" t="s">
        <v>1740</v>
      </c>
      <c r="B450" s="8" t="s">
        <v>1741</v>
      </c>
      <c r="C450" s="7" t="s">
        <v>1734</v>
      </c>
      <c r="D450" s="7" t="s">
        <v>33</v>
      </c>
      <c r="E450" s="8" t="s">
        <v>1742</v>
      </c>
      <c r="F450" s="8"/>
      <c r="G450" s="7" t="s">
        <v>29</v>
      </c>
      <c r="H450" s="8"/>
      <c r="I450" s="9" t="s">
        <v>30</v>
      </c>
      <c r="J450" s="10"/>
      <c r="K450" s="9"/>
      <c r="L450" s="11"/>
    </row>
    <row r="451" customFormat="false" ht="23.85" hidden="false" customHeight="false" outlineLevel="0" collapsed="false">
      <c r="A451" s="7" t="s">
        <v>1743</v>
      </c>
      <c r="B451" s="8" t="s">
        <v>1744</v>
      </c>
      <c r="C451" s="7" t="s">
        <v>1734</v>
      </c>
      <c r="D451" s="7" t="s">
        <v>33</v>
      </c>
      <c r="E451" s="8" t="s">
        <v>1745</v>
      </c>
      <c r="F451" s="8" t="s">
        <v>1746</v>
      </c>
      <c r="G451" s="7" t="s">
        <v>29</v>
      </c>
      <c r="H451" s="8"/>
      <c r="I451" s="9" t="s">
        <v>30</v>
      </c>
      <c r="J451" s="10"/>
      <c r="K451" s="9"/>
      <c r="L451" s="11"/>
    </row>
    <row r="452" customFormat="false" ht="15" hidden="false" customHeight="false" outlineLevel="0" collapsed="false">
      <c r="A452" s="7" t="s">
        <v>1747</v>
      </c>
      <c r="B452" s="8" t="s">
        <v>1748</v>
      </c>
      <c r="C452" s="7" t="s">
        <v>1734</v>
      </c>
      <c r="D452" s="7" t="s">
        <v>33</v>
      </c>
      <c r="E452" s="8" t="s">
        <v>1749</v>
      </c>
      <c r="F452" s="8" t="s">
        <v>1750</v>
      </c>
      <c r="G452" s="7" t="s">
        <v>29</v>
      </c>
      <c r="H452" s="8"/>
      <c r="I452" s="9" t="s">
        <v>30</v>
      </c>
      <c r="J452" s="10"/>
      <c r="K452" s="9"/>
      <c r="L452" s="11"/>
    </row>
    <row r="453" customFormat="false" ht="23.85" hidden="false" customHeight="false" outlineLevel="0" collapsed="false">
      <c r="A453" s="7" t="s">
        <v>1751</v>
      </c>
      <c r="B453" s="8" t="s">
        <v>1752</v>
      </c>
      <c r="C453" s="7" t="s">
        <v>1734</v>
      </c>
      <c r="D453" s="7" t="s">
        <v>33</v>
      </c>
      <c r="E453" s="8" t="s">
        <v>1753</v>
      </c>
      <c r="F453" s="8" t="s">
        <v>1754</v>
      </c>
      <c r="G453" s="7" t="s">
        <v>29</v>
      </c>
      <c r="H453" s="8"/>
      <c r="I453" s="9" t="s">
        <v>30</v>
      </c>
      <c r="J453" s="10"/>
      <c r="K453" s="9"/>
      <c r="L453" s="11"/>
    </row>
    <row r="454" customFormat="false" ht="23.85" hidden="false" customHeight="false" outlineLevel="0" collapsed="false">
      <c r="A454" s="7" t="s">
        <v>1755</v>
      </c>
      <c r="B454" s="8" t="s">
        <v>1756</v>
      </c>
      <c r="C454" s="7" t="s">
        <v>1734</v>
      </c>
      <c r="D454" s="7" t="s">
        <v>50</v>
      </c>
      <c r="E454" s="8" t="s">
        <v>1757</v>
      </c>
      <c r="F454" s="8"/>
      <c r="G454" s="7" t="s">
        <v>29</v>
      </c>
      <c r="H454" s="8"/>
      <c r="I454" s="9" t="s">
        <v>30</v>
      </c>
      <c r="J454" s="10"/>
      <c r="K454" s="9"/>
      <c r="L454" s="11"/>
    </row>
    <row r="455" customFormat="false" ht="23.85" hidden="false" customHeight="false" outlineLevel="0" collapsed="false">
      <c r="A455" s="7" t="s">
        <v>1758</v>
      </c>
      <c r="B455" s="8" t="s">
        <v>1759</v>
      </c>
      <c r="C455" s="7" t="s">
        <v>1734</v>
      </c>
      <c r="D455" s="7" t="s">
        <v>80</v>
      </c>
      <c r="E455" s="8" t="s">
        <v>1760</v>
      </c>
      <c r="F455" s="8" t="s">
        <v>1761</v>
      </c>
      <c r="G455" s="7" t="s">
        <v>83</v>
      </c>
      <c r="H455" s="8"/>
      <c r="I455" s="9" t="s">
        <v>30</v>
      </c>
      <c r="J455" s="10"/>
      <c r="K455" s="9"/>
      <c r="L455" s="11"/>
    </row>
    <row r="456" customFormat="false" ht="23.85" hidden="false" customHeight="false" outlineLevel="0" collapsed="false">
      <c r="A456" s="7" t="s">
        <v>1762</v>
      </c>
      <c r="B456" s="8" t="s">
        <v>1763</v>
      </c>
      <c r="C456" s="7" t="s">
        <v>1734</v>
      </c>
      <c r="D456" s="7" t="s">
        <v>80</v>
      </c>
      <c r="E456" s="8" t="s">
        <v>1764</v>
      </c>
      <c r="F456" s="8" t="s">
        <v>1765</v>
      </c>
      <c r="G456" s="7" t="s">
        <v>83</v>
      </c>
      <c r="H456" s="8"/>
      <c r="I456" s="9" t="s">
        <v>30</v>
      </c>
      <c r="J456" s="10"/>
      <c r="K456" s="9"/>
      <c r="L456" s="11"/>
    </row>
    <row r="457" customFormat="false" ht="23.85" hidden="false" customHeight="false" outlineLevel="0" collapsed="false">
      <c r="A457" s="7" t="s">
        <v>1766</v>
      </c>
      <c r="B457" s="8" t="s">
        <v>1767</v>
      </c>
      <c r="C457" s="7" t="s">
        <v>1734</v>
      </c>
      <c r="D457" s="7" t="s">
        <v>80</v>
      </c>
      <c r="E457" s="8" t="s">
        <v>1768</v>
      </c>
      <c r="F457" s="8" t="s">
        <v>1769</v>
      </c>
      <c r="G457" s="7" t="s">
        <v>83</v>
      </c>
      <c r="H457" s="8"/>
      <c r="I457" s="9" t="s">
        <v>30</v>
      </c>
      <c r="J457" s="10"/>
      <c r="K457" s="9"/>
      <c r="L457" s="11"/>
    </row>
    <row r="458" customFormat="false" ht="23.85" hidden="false" customHeight="false" outlineLevel="0" collapsed="false">
      <c r="A458" s="7" t="s">
        <v>1770</v>
      </c>
      <c r="B458" s="8" t="s">
        <v>1771</v>
      </c>
      <c r="C458" s="7" t="s">
        <v>1772</v>
      </c>
      <c r="D458" s="7" t="s">
        <v>27</v>
      </c>
      <c r="E458" s="8" t="s">
        <v>1773</v>
      </c>
      <c r="F458" s="8"/>
      <c r="G458" s="7" t="s">
        <v>29</v>
      </c>
      <c r="H458" s="8"/>
      <c r="I458" s="9" t="s">
        <v>30</v>
      </c>
      <c r="J458" s="10"/>
      <c r="K458" s="9"/>
      <c r="L458" s="11"/>
    </row>
    <row r="459" customFormat="false" ht="23.85" hidden="false" customHeight="false" outlineLevel="0" collapsed="false">
      <c r="A459" s="7" t="s">
        <v>1774</v>
      </c>
      <c r="B459" s="8" t="s">
        <v>1775</v>
      </c>
      <c r="C459" s="7" t="s">
        <v>1772</v>
      </c>
      <c r="D459" s="7" t="s">
        <v>33</v>
      </c>
      <c r="E459" s="8" t="s">
        <v>1776</v>
      </c>
      <c r="F459" s="8" t="s">
        <v>1777</v>
      </c>
      <c r="G459" s="7" t="s">
        <v>29</v>
      </c>
      <c r="H459" s="8"/>
      <c r="I459" s="9" t="s">
        <v>30</v>
      </c>
      <c r="J459" s="10"/>
      <c r="K459" s="9"/>
      <c r="L459" s="11"/>
    </row>
    <row r="460" customFormat="false" ht="23.85" hidden="false" customHeight="false" outlineLevel="0" collapsed="false">
      <c r="A460" s="7" t="s">
        <v>1778</v>
      </c>
      <c r="B460" s="8" t="s">
        <v>1779</v>
      </c>
      <c r="C460" s="7" t="s">
        <v>1772</v>
      </c>
      <c r="D460" s="7" t="s">
        <v>33</v>
      </c>
      <c r="E460" s="8" t="s">
        <v>1780</v>
      </c>
      <c r="F460" s="8" t="s">
        <v>1781</v>
      </c>
      <c r="G460" s="7" t="s">
        <v>29</v>
      </c>
      <c r="H460" s="8"/>
      <c r="I460" s="9" t="s">
        <v>30</v>
      </c>
      <c r="J460" s="10"/>
      <c r="K460" s="9"/>
      <c r="L460" s="11"/>
    </row>
    <row r="461" customFormat="false" ht="35.05" hidden="false" customHeight="false" outlineLevel="0" collapsed="false">
      <c r="A461" s="7" t="s">
        <v>1782</v>
      </c>
      <c r="B461" s="8" t="s">
        <v>1783</v>
      </c>
      <c r="C461" s="7" t="s">
        <v>1772</v>
      </c>
      <c r="D461" s="7" t="s">
        <v>33</v>
      </c>
      <c r="E461" s="8" t="s">
        <v>1784</v>
      </c>
      <c r="F461" s="8" t="s">
        <v>1785</v>
      </c>
      <c r="G461" s="7" t="s">
        <v>29</v>
      </c>
      <c r="H461" s="8"/>
      <c r="I461" s="9" t="s">
        <v>30</v>
      </c>
      <c r="J461" s="10"/>
      <c r="K461" s="9"/>
      <c r="L461" s="11"/>
    </row>
    <row r="462" customFormat="false" ht="23.85" hidden="false" customHeight="false" outlineLevel="0" collapsed="false">
      <c r="A462" s="7" t="s">
        <v>1786</v>
      </c>
      <c r="B462" s="8" t="s">
        <v>1787</v>
      </c>
      <c r="C462" s="7" t="s">
        <v>1772</v>
      </c>
      <c r="D462" s="7" t="s">
        <v>33</v>
      </c>
      <c r="E462" s="8" t="s">
        <v>1788</v>
      </c>
      <c r="F462" s="8" t="s">
        <v>1789</v>
      </c>
      <c r="G462" s="7" t="s">
        <v>29</v>
      </c>
      <c r="H462" s="8"/>
      <c r="I462" s="9" t="s">
        <v>30</v>
      </c>
      <c r="J462" s="10"/>
      <c r="K462" s="9"/>
      <c r="L462" s="11"/>
    </row>
    <row r="463" customFormat="false" ht="23.85" hidden="false" customHeight="false" outlineLevel="0" collapsed="false">
      <c r="A463" s="7" t="s">
        <v>1790</v>
      </c>
      <c r="B463" s="8" t="s">
        <v>1791</v>
      </c>
      <c r="C463" s="7" t="s">
        <v>1772</v>
      </c>
      <c r="D463" s="7" t="s">
        <v>50</v>
      </c>
      <c r="E463" s="8" t="s">
        <v>1792</v>
      </c>
      <c r="F463" s="8"/>
      <c r="G463" s="7" t="s">
        <v>29</v>
      </c>
      <c r="H463" s="8"/>
      <c r="I463" s="9" t="s">
        <v>30</v>
      </c>
      <c r="J463" s="10"/>
      <c r="K463" s="9"/>
      <c r="L463" s="11"/>
    </row>
    <row r="464" customFormat="false" ht="23.85" hidden="false" customHeight="false" outlineLevel="0" collapsed="false">
      <c r="A464" s="7" t="s">
        <v>1793</v>
      </c>
      <c r="B464" s="8" t="s">
        <v>1794</v>
      </c>
      <c r="C464" s="7" t="s">
        <v>1772</v>
      </c>
      <c r="D464" s="7" t="s">
        <v>80</v>
      </c>
      <c r="E464" s="8" t="s">
        <v>1795</v>
      </c>
      <c r="F464" s="8" t="s">
        <v>1796</v>
      </c>
      <c r="G464" s="7" t="s">
        <v>83</v>
      </c>
      <c r="H464" s="8"/>
      <c r="I464" s="9" t="s">
        <v>30</v>
      </c>
      <c r="J464" s="10"/>
      <c r="K464" s="9"/>
      <c r="L464" s="11"/>
    </row>
    <row r="465" customFormat="false" ht="23.85" hidden="false" customHeight="false" outlineLevel="0" collapsed="false">
      <c r="A465" s="7" t="s">
        <v>1797</v>
      </c>
      <c r="B465" s="8" t="s">
        <v>1798</v>
      </c>
      <c r="C465" s="7" t="s">
        <v>1772</v>
      </c>
      <c r="D465" s="7" t="s">
        <v>80</v>
      </c>
      <c r="E465" s="8" t="s">
        <v>1799</v>
      </c>
      <c r="F465" s="8" t="s">
        <v>1800</v>
      </c>
      <c r="G465" s="7" t="s">
        <v>83</v>
      </c>
      <c r="H465" s="8"/>
      <c r="I465" s="9" t="s">
        <v>30</v>
      </c>
      <c r="J465" s="10"/>
      <c r="K465" s="9"/>
      <c r="L465" s="11"/>
    </row>
    <row r="466" customFormat="false" ht="23.85" hidden="false" customHeight="false" outlineLevel="0" collapsed="false">
      <c r="A466" s="7" t="s">
        <v>1801</v>
      </c>
      <c r="B466" s="8" t="s">
        <v>1802</v>
      </c>
      <c r="C466" s="7" t="s">
        <v>1772</v>
      </c>
      <c r="D466" s="7" t="s">
        <v>80</v>
      </c>
      <c r="E466" s="8" t="s">
        <v>1803</v>
      </c>
      <c r="F466" s="8" t="s">
        <v>1804</v>
      </c>
      <c r="G466" s="7" t="s">
        <v>83</v>
      </c>
      <c r="H466" s="8"/>
      <c r="I466" s="9" t="s">
        <v>30</v>
      </c>
      <c r="J466" s="10"/>
      <c r="K466" s="9"/>
      <c r="L466" s="11"/>
    </row>
    <row r="467" customFormat="false" ht="15" hidden="false" customHeight="false" outlineLevel="0" collapsed="false">
      <c r="A467" s="7" t="s">
        <v>1805</v>
      </c>
      <c r="B467" s="8" t="s">
        <v>1806</v>
      </c>
      <c r="C467" s="7" t="s">
        <v>1807</v>
      </c>
      <c r="D467" s="7" t="s">
        <v>27</v>
      </c>
      <c r="E467" s="8" t="s">
        <v>1808</v>
      </c>
      <c r="F467" s="8"/>
      <c r="G467" s="7" t="s">
        <v>29</v>
      </c>
      <c r="H467" s="8"/>
      <c r="I467" s="9" t="s">
        <v>30</v>
      </c>
      <c r="J467" s="10"/>
      <c r="K467" s="9"/>
      <c r="L467" s="11"/>
    </row>
    <row r="468" customFormat="false" ht="23.85" hidden="false" customHeight="false" outlineLevel="0" collapsed="false">
      <c r="A468" s="7" t="s">
        <v>1809</v>
      </c>
      <c r="B468" s="8" t="s">
        <v>1810</v>
      </c>
      <c r="C468" s="7" t="s">
        <v>1807</v>
      </c>
      <c r="D468" s="7" t="s">
        <v>33</v>
      </c>
      <c r="E468" s="8" t="s">
        <v>1811</v>
      </c>
      <c r="F468" s="8" t="s">
        <v>1812</v>
      </c>
      <c r="G468" s="7" t="s">
        <v>29</v>
      </c>
      <c r="H468" s="8"/>
      <c r="I468" s="9" t="s">
        <v>30</v>
      </c>
      <c r="J468" s="10"/>
      <c r="K468" s="9"/>
      <c r="L468" s="11"/>
    </row>
    <row r="469" customFormat="false" ht="23.85" hidden="false" customHeight="false" outlineLevel="0" collapsed="false">
      <c r="A469" s="7" t="s">
        <v>1813</v>
      </c>
      <c r="B469" s="8" t="s">
        <v>1814</v>
      </c>
      <c r="C469" s="7" t="s">
        <v>1807</v>
      </c>
      <c r="D469" s="7" t="s">
        <v>33</v>
      </c>
      <c r="E469" s="8" t="s">
        <v>1815</v>
      </c>
      <c r="F469" s="8" t="s">
        <v>1816</v>
      </c>
      <c r="G469" s="7" t="s">
        <v>29</v>
      </c>
      <c r="H469" s="8"/>
      <c r="I469" s="9" t="s">
        <v>30</v>
      </c>
      <c r="J469" s="10"/>
      <c r="K469" s="9"/>
      <c r="L469" s="11"/>
    </row>
    <row r="470" customFormat="false" ht="23.85" hidden="false" customHeight="false" outlineLevel="0" collapsed="false">
      <c r="A470" s="7" t="s">
        <v>1817</v>
      </c>
      <c r="B470" s="8" t="s">
        <v>1818</v>
      </c>
      <c r="C470" s="7" t="s">
        <v>1807</v>
      </c>
      <c r="D470" s="7" t="s">
        <v>33</v>
      </c>
      <c r="E470" s="8" t="s">
        <v>1819</v>
      </c>
      <c r="F470" s="8" t="s">
        <v>1820</v>
      </c>
      <c r="G470" s="7" t="s">
        <v>29</v>
      </c>
      <c r="H470" s="8"/>
      <c r="I470" s="9" t="s">
        <v>30</v>
      </c>
      <c r="J470" s="10"/>
      <c r="K470" s="9"/>
      <c r="L470" s="11"/>
    </row>
    <row r="471" customFormat="false" ht="23.85" hidden="false" customHeight="false" outlineLevel="0" collapsed="false">
      <c r="A471" s="7" t="s">
        <v>1821</v>
      </c>
      <c r="B471" s="8" t="s">
        <v>1822</v>
      </c>
      <c r="C471" s="7" t="s">
        <v>1807</v>
      </c>
      <c r="D471" s="7" t="s">
        <v>33</v>
      </c>
      <c r="E471" s="8" t="s">
        <v>1823</v>
      </c>
      <c r="F471" s="8" t="s">
        <v>1824</v>
      </c>
      <c r="G471" s="7" t="s">
        <v>29</v>
      </c>
      <c r="H471" s="8"/>
      <c r="I471" s="9" t="s">
        <v>30</v>
      </c>
      <c r="J471" s="10"/>
      <c r="K471" s="9"/>
      <c r="L471" s="11"/>
    </row>
    <row r="472" customFormat="false" ht="23.85" hidden="false" customHeight="false" outlineLevel="0" collapsed="false">
      <c r="A472" s="7" t="s">
        <v>1825</v>
      </c>
      <c r="B472" s="8" t="s">
        <v>1826</v>
      </c>
      <c r="C472" s="7" t="s">
        <v>1807</v>
      </c>
      <c r="D472" s="7" t="s">
        <v>50</v>
      </c>
      <c r="E472" s="8" t="s">
        <v>1827</v>
      </c>
      <c r="F472" s="8"/>
      <c r="G472" s="7" t="s">
        <v>29</v>
      </c>
      <c r="H472" s="8"/>
      <c r="I472" s="9" t="s">
        <v>30</v>
      </c>
      <c r="J472" s="10"/>
      <c r="K472" s="9"/>
      <c r="L472" s="11"/>
    </row>
    <row r="473" customFormat="false" ht="23.85" hidden="false" customHeight="false" outlineLevel="0" collapsed="false">
      <c r="A473" s="7" t="s">
        <v>1828</v>
      </c>
      <c r="B473" s="8" t="s">
        <v>1829</v>
      </c>
      <c r="C473" s="7" t="s">
        <v>1807</v>
      </c>
      <c r="D473" s="7" t="s">
        <v>80</v>
      </c>
      <c r="E473" s="8" t="s">
        <v>1830</v>
      </c>
      <c r="F473" s="8" t="s">
        <v>1831</v>
      </c>
      <c r="G473" s="7" t="s">
        <v>83</v>
      </c>
      <c r="H473" s="8"/>
      <c r="I473" s="9" t="s">
        <v>30</v>
      </c>
      <c r="J473" s="10"/>
      <c r="K473" s="9"/>
      <c r="L473" s="11"/>
    </row>
    <row r="474" customFormat="false" ht="23.85" hidden="false" customHeight="false" outlineLevel="0" collapsed="false">
      <c r="A474" s="7" t="s">
        <v>1832</v>
      </c>
      <c r="B474" s="8" t="s">
        <v>1833</v>
      </c>
      <c r="C474" s="7" t="s">
        <v>1807</v>
      </c>
      <c r="D474" s="7" t="s">
        <v>80</v>
      </c>
      <c r="E474" s="8" t="s">
        <v>1834</v>
      </c>
      <c r="F474" s="8" t="s">
        <v>1835</v>
      </c>
      <c r="G474" s="7" t="s">
        <v>83</v>
      </c>
      <c r="H474" s="8"/>
      <c r="I474" s="9" t="s">
        <v>30</v>
      </c>
      <c r="J474" s="10"/>
      <c r="K474" s="9"/>
      <c r="L474" s="11"/>
    </row>
    <row r="475" customFormat="false" ht="23.85" hidden="false" customHeight="false" outlineLevel="0" collapsed="false">
      <c r="A475" s="7" t="s">
        <v>1836</v>
      </c>
      <c r="B475" s="8" t="s">
        <v>1837</v>
      </c>
      <c r="C475" s="7" t="s">
        <v>1807</v>
      </c>
      <c r="D475" s="7" t="s">
        <v>80</v>
      </c>
      <c r="E475" s="8" t="s">
        <v>1838</v>
      </c>
      <c r="F475" s="8" t="s">
        <v>1839</v>
      </c>
      <c r="G475" s="7" t="s">
        <v>83</v>
      </c>
      <c r="H475" s="8"/>
      <c r="I475" s="9" t="s">
        <v>30</v>
      </c>
      <c r="J475" s="10"/>
      <c r="K475" s="9"/>
      <c r="L475" s="11"/>
    </row>
    <row r="476" customFormat="false" ht="23.85" hidden="false" customHeight="false" outlineLevel="0" collapsed="false">
      <c r="A476" s="7" t="s">
        <v>1840</v>
      </c>
      <c r="B476" s="8" t="s">
        <v>1841</v>
      </c>
      <c r="C476" s="7" t="s">
        <v>1842</v>
      </c>
      <c r="D476" s="7" t="s">
        <v>27</v>
      </c>
      <c r="E476" s="8" t="s">
        <v>1843</v>
      </c>
      <c r="F476" s="8"/>
      <c r="G476" s="7" t="s">
        <v>29</v>
      </c>
      <c r="H476" s="8"/>
      <c r="I476" s="9" t="s">
        <v>30</v>
      </c>
      <c r="J476" s="10"/>
      <c r="K476" s="9"/>
      <c r="L476" s="11"/>
    </row>
    <row r="477" customFormat="false" ht="23.85" hidden="false" customHeight="false" outlineLevel="0" collapsed="false">
      <c r="A477" s="7" t="s">
        <v>1844</v>
      </c>
      <c r="B477" s="8" t="s">
        <v>1845</v>
      </c>
      <c r="C477" s="7" t="s">
        <v>1842</v>
      </c>
      <c r="D477" s="7" t="s">
        <v>33</v>
      </c>
      <c r="E477" s="8" t="s">
        <v>1846</v>
      </c>
      <c r="F477" s="8" t="s">
        <v>1847</v>
      </c>
      <c r="G477" s="7" t="s">
        <v>29</v>
      </c>
      <c r="H477" s="8"/>
      <c r="I477" s="9" t="s">
        <v>30</v>
      </c>
      <c r="J477" s="10"/>
      <c r="K477" s="9"/>
      <c r="L477" s="11"/>
    </row>
    <row r="478" customFormat="false" ht="23.85" hidden="false" customHeight="false" outlineLevel="0" collapsed="false">
      <c r="A478" s="7" t="s">
        <v>1848</v>
      </c>
      <c r="B478" s="8" t="s">
        <v>1849</v>
      </c>
      <c r="C478" s="7" t="s">
        <v>1842</v>
      </c>
      <c r="D478" s="7" t="s">
        <v>33</v>
      </c>
      <c r="E478" s="8" t="s">
        <v>1850</v>
      </c>
      <c r="F478" s="8" t="s">
        <v>1851</v>
      </c>
      <c r="G478" s="7" t="s">
        <v>29</v>
      </c>
      <c r="H478" s="8"/>
      <c r="I478" s="9" t="s">
        <v>30</v>
      </c>
      <c r="J478" s="10"/>
      <c r="K478" s="9"/>
      <c r="L478" s="11"/>
    </row>
    <row r="479" customFormat="false" ht="23.85" hidden="false" customHeight="false" outlineLevel="0" collapsed="false">
      <c r="A479" s="7" t="s">
        <v>1852</v>
      </c>
      <c r="B479" s="8" t="s">
        <v>1853</v>
      </c>
      <c r="C479" s="7" t="s">
        <v>1842</v>
      </c>
      <c r="D479" s="7" t="s">
        <v>33</v>
      </c>
      <c r="E479" s="8" t="s">
        <v>1854</v>
      </c>
      <c r="F479" s="8" t="s">
        <v>1855</v>
      </c>
      <c r="G479" s="7" t="s">
        <v>29</v>
      </c>
      <c r="H479" s="8"/>
      <c r="I479" s="9" t="s">
        <v>30</v>
      </c>
      <c r="J479" s="10"/>
      <c r="K479" s="9"/>
      <c r="L479" s="11"/>
    </row>
    <row r="480" customFormat="false" ht="23.85" hidden="false" customHeight="false" outlineLevel="0" collapsed="false">
      <c r="A480" s="7" t="s">
        <v>1856</v>
      </c>
      <c r="B480" s="8" t="s">
        <v>1857</v>
      </c>
      <c r="C480" s="7" t="s">
        <v>1842</v>
      </c>
      <c r="D480" s="7" t="s">
        <v>33</v>
      </c>
      <c r="E480" s="8" t="s">
        <v>1858</v>
      </c>
      <c r="F480" s="8" t="s">
        <v>1859</v>
      </c>
      <c r="G480" s="7" t="s">
        <v>29</v>
      </c>
      <c r="H480" s="8" t="s">
        <v>1860</v>
      </c>
      <c r="I480" s="9" t="s">
        <v>30</v>
      </c>
      <c r="J480" s="10"/>
      <c r="K480" s="9"/>
      <c r="L480" s="11"/>
    </row>
    <row r="481" customFormat="false" ht="23.85" hidden="false" customHeight="false" outlineLevel="0" collapsed="false">
      <c r="A481" s="7" t="s">
        <v>1861</v>
      </c>
      <c r="B481" s="8" t="s">
        <v>1862</v>
      </c>
      <c r="C481" s="7" t="s">
        <v>1842</v>
      </c>
      <c r="D481" s="7" t="s">
        <v>50</v>
      </c>
      <c r="E481" s="8" t="s">
        <v>1863</v>
      </c>
      <c r="F481" s="8"/>
      <c r="G481" s="7" t="s">
        <v>29</v>
      </c>
      <c r="H481" s="8"/>
      <c r="I481" s="9" t="s">
        <v>30</v>
      </c>
      <c r="J481" s="10"/>
      <c r="K481" s="9"/>
      <c r="L481" s="11"/>
    </row>
    <row r="482" customFormat="false" ht="23.85" hidden="false" customHeight="false" outlineLevel="0" collapsed="false">
      <c r="A482" s="7" t="s">
        <v>1864</v>
      </c>
      <c r="B482" s="8" t="s">
        <v>1865</v>
      </c>
      <c r="C482" s="7" t="s">
        <v>1842</v>
      </c>
      <c r="D482" s="7" t="s">
        <v>80</v>
      </c>
      <c r="E482" s="8" t="s">
        <v>1866</v>
      </c>
      <c r="F482" s="8" t="s">
        <v>1867</v>
      </c>
      <c r="G482" s="7" t="s">
        <v>83</v>
      </c>
      <c r="H482" s="8"/>
      <c r="I482" s="9" t="s">
        <v>30</v>
      </c>
      <c r="J482" s="10"/>
      <c r="K482" s="9"/>
      <c r="L482" s="11"/>
    </row>
    <row r="483" customFormat="false" ht="23.85" hidden="false" customHeight="false" outlineLevel="0" collapsed="false">
      <c r="A483" s="7" t="s">
        <v>1868</v>
      </c>
      <c r="B483" s="8" t="s">
        <v>1869</v>
      </c>
      <c r="C483" s="7" t="s">
        <v>1842</v>
      </c>
      <c r="D483" s="7" t="s">
        <v>80</v>
      </c>
      <c r="E483" s="8" t="s">
        <v>1870</v>
      </c>
      <c r="F483" s="8" t="s">
        <v>1871</v>
      </c>
      <c r="G483" s="7" t="s">
        <v>83</v>
      </c>
      <c r="H483" s="8"/>
      <c r="I483" s="9" t="s">
        <v>30</v>
      </c>
      <c r="J483" s="10"/>
      <c r="K483" s="9"/>
      <c r="L483" s="11"/>
    </row>
    <row r="484" customFormat="false" ht="23.85" hidden="false" customHeight="false" outlineLevel="0" collapsed="false">
      <c r="A484" s="7" t="s">
        <v>1872</v>
      </c>
      <c r="B484" s="8" t="s">
        <v>1873</v>
      </c>
      <c r="C484" s="7" t="s">
        <v>1842</v>
      </c>
      <c r="D484" s="7" t="s">
        <v>80</v>
      </c>
      <c r="E484" s="8" t="s">
        <v>1874</v>
      </c>
      <c r="F484" s="8" t="s">
        <v>1875</v>
      </c>
      <c r="G484" s="7" t="s">
        <v>83</v>
      </c>
      <c r="H484" s="8"/>
      <c r="I484" s="9" t="s">
        <v>30</v>
      </c>
      <c r="J484" s="10"/>
      <c r="K484" s="9"/>
      <c r="L484" s="11"/>
    </row>
    <row r="485" customFormat="false" ht="23.85" hidden="false" customHeight="false" outlineLevel="0" collapsed="false">
      <c r="A485" s="7" t="s">
        <v>1876</v>
      </c>
      <c r="B485" s="8" t="s">
        <v>1877</v>
      </c>
      <c r="C485" s="7" t="s">
        <v>1878</v>
      </c>
      <c r="D485" s="7" t="s">
        <v>27</v>
      </c>
      <c r="E485" s="8" t="s">
        <v>1879</v>
      </c>
      <c r="F485" s="8"/>
      <c r="G485" s="7" t="s">
        <v>29</v>
      </c>
      <c r="H485" s="8"/>
      <c r="I485" s="9" t="s">
        <v>30</v>
      </c>
      <c r="J485" s="10"/>
      <c r="K485" s="9"/>
      <c r="L485" s="11"/>
    </row>
    <row r="486" customFormat="false" ht="23.85" hidden="false" customHeight="false" outlineLevel="0" collapsed="false">
      <c r="A486" s="7" t="s">
        <v>1880</v>
      </c>
      <c r="B486" s="8" t="s">
        <v>1881</v>
      </c>
      <c r="C486" s="7" t="s">
        <v>1878</v>
      </c>
      <c r="D486" s="7" t="s">
        <v>33</v>
      </c>
      <c r="E486" s="8" t="s">
        <v>1882</v>
      </c>
      <c r="F486" s="8" t="s">
        <v>1883</v>
      </c>
      <c r="G486" s="7" t="s">
        <v>29</v>
      </c>
      <c r="H486" s="8"/>
      <c r="I486" s="9" t="s">
        <v>30</v>
      </c>
      <c r="J486" s="10"/>
      <c r="K486" s="9"/>
      <c r="L486" s="11"/>
    </row>
    <row r="487" customFormat="false" ht="35.05" hidden="false" customHeight="false" outlineLevel="0" collapsed="false">
      <c r="A487" s="7" t="s">
        <v>1884</v>
      </c>
      <c r="B487" s="8" t="s">
        <v>1885</v>
      </c>
      <c r="C487" s="7" t="s">
        <v>1878</v>
      </c>
      <c r="D487" s="7" t="s">
        <v>33</v>
      </c>
      <c r="E487" s="8" t="s">
        <v>1886</v>
      </c>
      <c r="F487" s="8"/>
      <c r="G487" s="7" t="s">
        <v>29</v>
      </c>
      <c r="H487" s="8" t="s">
        <v>1887</v>
      </c>
      <c r="I487" s="9" t="s">
        <v>30</v>
      </c>
      <c r="J487" s="10"/>
      <c r="K487" s="9"/>
      <c r="L487" s="11"/>
    </row>
    <row r="488" customFormat="false" ht="35.05" hidden="false" customHeight="false" outlineLevel="0" collapsed="false">
      <c r="A488" s="7" t="s">
        <v>1888</v>
      </c>
      <c r="B488" s="8" t="s">
        <v>1889</v>
      </c>
      <c r="C488" s="7" t="s">
        <v>1878</v>
      </c>
      <c r="D488" s="7" t="s">
        <v>33</v>
      </c>
      <c r="E488" s="8" t="s">
        <v>1890</v>
      </c>
      <c r="F488" s="8" t="s">
        <v>1891</v>
      </c>
      <c r="G488" s="7" t="s">
        <v>29</v>
      </c>
      <c r="H488" s="8" t="s">
        <v>1887</v>
      </c>
      <c r="I488" s="9" t="s">
        <v>30</v>
      </c>
      <c r="J488" s="10"/>
      <c r="K488" s="9"/>
      <c r="L488" s="11"/>
    </row>
    <row r="489" customFormat="false" ht="35.05" hidden="false" customHeight="false" outlineLevel="0" collapsed="false">
      <c r="A489" s="7" t="s">
        <v>1892</v>
      </c>
      <c r="B489" s="8" t="s">
        <v>1893</v>
      </c>
      <c r="C489" s="7" t="s">
        <v>1878</v>
      </c>
      <c r="D489" s="7" t="s">
        <v>33</v>
      </c>
      <c r="E489" s="8" t="s">
        <v>1894</v>
      </c>
      <c r="F489" s="8" t="s">
        <v>1891</v>
      </c>
      <c r="G489" s="7" t="s">
        <v>29</v>
      </c>
      <c r="H489" s="8" t="s">
        <v>1887</v>
      </c>
      <c r="I489" s="9" t="s">
        <v>30</v>
      </c>
      <c r="J489" s="10"/>
      <c r="K489" s="9"/>
      <c r="L489" s="11"/>
    </row>
    <row r="490" customFormat="false" ht="23.85" hidden="false" customHeight="false" outlineLevel="0" collapsed="false">
      <c r="A490" s="7" t="s">
        <v>1895</v>
      </c>
      <c r="B490" s="8" t="s">
        <v>1896</v>
      </c>
      <c r="C490" s="7" t="s">
        <v>1878</v>
      </c>
      <c r="D490" s="7" t="s">
        <v>33</v>
      </c>
      <c r="E490" s="8" t="s">
        <v>1897</v>
      </c>
      <c r="F490" s="8" t="s">
        <v>1898</v>
      </c>
      <c r="G490" s="7" t="s">
        <v>29</v>
      </c>
      <c r="H490" s="8"/>
      <c r="I490" s="9" t="s">
        <v>30</v>
      </c>
      <c r="J490" s="10"/>
      <c r="K490" s="9"/>
      <c r="L490" s="11"/>
    </row>
    <row r="491" customFormat="false" ht="23.85" hidden="false" customHeight="false" outlineLevel="0" collapsed="false">
      <c r="A491" s="7" t="s">
        <v>1899</v>
      </c>
      <c r="B491" s="8" t="s">
        <v>1900</v>
      </c>
      <c r="C491" s="7" t="s">
        <v>1878</v>
      </c>
      <c r="D491" s="7" t="s">
        <v>50</v>
      </c>
      <c r="E491" s="8" t="s">
        <v>1901</v>
      </c>
      <c r="F491" s="8"/>
      <c r="G491" s="7" t="s">
        <v>29</v>
      </c>
      <c r="H491" s="8"/>
      <c r="I491" s="9" t="s">
        <v>30</v>
      </c>
      <c r="J491" s="10"/>
      <c r="K491" s="9"/>
      <c r="L491" s="11"/>
    </row>
    <row r="492" customFormat="false" ht="35.05" hidden="false" customHeight="false" outlineLevel="0" collapsed="false">
      <c r="A492" s="7" t="s">
        <v>1902</v>
      </c>
      <c r="B492" s="8" t="s">
        <v>1903</v>
      </c>
      <c r="C492" s="7" t="s">
        <v>1878</v>
      </c>
      <c r="D492" s="7" t="s">
        <v>80</v>
      </c>
      <c r="E492" s="8" t="s">
        <v>1904</v>
      </c>
      <c r="F492" s="8" t="s">
        <v>1905</v>
      </c>
      <c r="G492" s="7" t="s">
        <v>83</v>
      </c>
      <c r="H492" s="8" t="s">
        <v>1887</v>
      </c>
      <c r="I492" s="9" t="s">
        <v>30</v>
      </c>
      <c r="J492" s="10"/>
      <c r="K492" s="9"/>
      <c r="L492" s="11"/>
    </row>
    <row r="493" customFormat="false" ht="35.05" hidden="false" customHeight="false" outlineLevel="0" collapsed="false">
      <c r="A493" s="7" t="s">
        <v>1906</v>
      </c>
      <c r="B493" s="8" t="s">
        <v>1907</v>
      </c>
      <c r="C493" s="7" t="s">
        <v>1878</v>
      </c>
      <c r="D493" s="7" t="s">
        <v>80</v>
      </c>
      <c r="E493" s="8" t="s">
        <v>1908</v>
      </c>
      <c r="F493" s="8" t="s">
        <v>1909</v>
      </c>
      <c r="G493" s="7" t="s">
        <v>83</v>
      </c>
      <c r="H493" s="8" t="s">
        <v>1887</v>
      </c>
      <c r="I493" s="9" t="s">
        <v>30</v>
      </c>
      <c r="J493" s="10"/>
      <c r="K493" s="9"/>
      <c r="L493" s="11"/>
    </row>
    <row r="494" customFormat="false" ht="23.85" hidden="false" customHeight="false" outlineLevel="0" collapsed="false">
      <c r="A494" s="7" t="s">
        <v>1910</v>
      </c>
      <c r="B494" s="8" t="s">
        <v>1911</v>
      </c>
      <c r="C494" s="7" t="s">
        <v>1878</v>
      </c>
      <c r="D494" s="7" t="s">
        <v>80</v>
      </c>
      <c r="E494" s="8" t="s">
        <v>1912</v>
      </c>
      <c r="F494" s="8" t="s">
        <v>1913</v>
      </c>
      <c r="G494" s="7" t="s">
        <v>83</v>
      </c>
      <c r="H494" s="8"/>
      <c r="I494" s="9" t="s">
        <v>30</v>
      </c>
      <c r="J494" s="10"/>
      <c r="K494" s="9"/>
      <c r="L494" s="11"/>
    </row>
    <row r="495" customFormat="false" ht="15" hidden="false" customHeight="false" outlineLevel="0" collapsed="false">
      <c r="A495" s="7" t="s">
        <v>1914</v>
      </c>
      <c r="B495" s="8" t="s">
        <v>1915</v>
      </c>
      <c r="C495" s="7" t="s">
        <v>1916</v>
      </c>
      <c r="D495" s="7" t="s">
        <v>27</v>
      </c>
      <c r="E495" s="8" t="s">
        <v>1917</v>
      </c>
      <c r="F495" s="8"/>
      <c r="G495" s="7" t="s">
        <v>29</v>
      </c>
      <c r="H495" s="8"/>
      <c r="I495" s="9" t="s">
        <v>30</v>
      </c>
      <c r="J495" s="10"/>
      <c r="K495" s="9"/>
      <c r="L495" s="11"/>
    </row>
    <row r="496" customFormat="false" ht="15" hidden="false" customHeight="false" outlineLevel="0" collapsed="false">
      <c r="A496" s="7" t="s">
        <v>1918</v>
      </c>
      <c r="B496" s="8" t="s">
        <v>1919</v>
      </c>
      <c r="C496" s="7" t="s">
        <v>1916</v>
      </c>
      <c r="D496" s="7" t="s">
        <v>33</v>
      </c>
      <c r="E496" s="8" t="s">
        <v>1920</v>
      </c>
      <c r="F496" s="8" t="s">
        <v>1921</v>
      </c>
      <c r="G496" s="7" t="s">
        <v>29</v>
      </c>
      <c r="H496" s="8"/>
      <c r="I496" s="9" t="s">
        <v>30</v>
      </c>
      <c r="J496" s="10"/>
      <c r="K496" s="9"/>
      <c r="L496" s="11"/>
    </row>
    <row r="497" customFormat="false" ht="15" hidden="false" customHeight="false" outlineLevel="0" collapsed="false">
      <c r="A497" s="7" t="s">
        <v>1922</v>
      </c>
      <c r="B497" s="8" t="s">
        <v>1923</v>
      </c>
      <c r="C497" s="7" t="s">
        <v>1916</v>
      </c>
      <c r="D497" s="7" t="s">
        <v>33</v>
      </c>
      <c r="E497" s="8" t="s">
        <v>1924</v>
      </c>
      <c r="F497" s="8" t="s">
        <v>1925</v>
      </c>
      <c r="G497" s="7" t="s">
        <v>29</v>
      </c>
      <c r="H497" s="8"/>
      <c r="I497" s="9" t="s">
        <v>30</v>
      </c>
      <c r="J497" s="10"/>
      <c r="K497" s="9"/>
      <c r="L497" s="11"/>
    </row>
    <row r="498" customFormat="false" ht="23.85" hidden="false" customHeight="false" outlineLevel="0" collapsed="false">
      <c r="A498" s="7" t="s">
        <v>1926</v>
      </c>
      <c r="B498" s="8" t="s">
        <v>1927</v>
      </c>
      <c r="C498" s="7" t="s">
        <v>1916</v>
      </c>
      <c r="D498" s="7" t="s">
        <v>33</v>
      </c>
      <c r="E498" s="8" t="s">
        <v>1928</v>
      </c>
      <c r="F498" s="8" t="s">
        <v>1929</v>
      </c>
      <c r="G498" s="7" t="s">
        <v>29</v>
      </c>
      <c r="H498" s="8"/>
      <c r="I498" s="9" t="s">
        <v>30</v>
      </c>
      <c r="J498" s="10"/>
      <c r="K498" s="9"/>
      <c r="L498" s="11"/>
    </row>
    <row r="499" customFormat="false" ht="23.85" hidden="false" customHeight="false" outlineLevel="0" collapsed="false">
      <c r="A499" s="7" t="s">
        <v>1930</v>
      </c>
      <c r="B499" s="8" t="s">
        <v>1931</v>
      </c>
      <c r="C499" s="7" t="s">
        <v>1916</v>
      </c>
      <c r="D499" s="7" t="s">
        <v>33</v>
      </c>
      <c r="E499" s="8" t="s">
        <v>1932</v>
      </c>
      <c r="F499" s="8" t="s">
        <v>1933</v>
      </c>
      <c r="G499" s="7" t="s">
        <v>29</v>
      </c>
      <c r="H499" s="8"/>
      <c r="I499" s="9" t="s">
        <v>30</v>
      </c>
      <c r="J499" s="10"/>
      <c r="K499" s="9"/>
      <c r="L499" s="11"/>
    </row>
    <row r="500" customFormat="false" ht="23.85" hidden="false" customHeight="false" outlineLevel="0" collapsed="false">
      <c r="A500" s="7" t="s">
        <v>1934</v>
      </c>
      <c r="B500" s="8" t="s">
        <v>1935</v>
      </c>
      <c r="C500" s="7" t="s">
        <v>1916</v>
      </c>
      <c r="D500" s="7" t="s">
        <v>50</v>
      </c>
      <c r="E500" s="8" t="s">
        <v>1936</v>
      </c>
      <c r="F500" s="8"/>
      <c r="G500" s="7" t="s">
        <v>29</v>
      </c>
      <c r="H500" s="8"/>
      <c r="I500" s="9" t="s">
        <v>30</v>
      </c>
      <c r="J500" s="10"/>
      <c r="K500" s="9"/>
      <c r="L500" s="11"/>
    </row>
    <row r="501" customFormat="false" ht="15" hidden="false" customHeight="false" outlineLevel="0" collapsed="false">
      <c r="A501" s="7" t="s">
        <v>1937</v>
      </c>
      <c r="B501" s="8" t="s">
        <v>1938</v>
      </c>
      <c r="C501" s="7" t="s">
        <v>1916</v>
      </c>
      <c r="D501" s="7" t="s">
        <v>80</v>
      </c>
      <c r="E501" s="8" t="s">
        <v>1939</v>
      </c>
      <c r="F501" s="8" t="s">
        <v>1940</v>
      </c>
      <c r="G501" s="7" t="s">
        <v>83</v>
      </c>
      <c r="H501" s="8"/>
      <c r="I501" s="9" t="s">
        <v>30</v>
      </c>
      <c r="J501" s="10"/>
      <c r="K501" s="9"/>
      <c r="L501" s="11"/>
    </row>
    <row r="502" customFormat="false" ht="23.85" hidden="false" customHeight="false" outlineLevel="0" collapsed="false">
      <c r="A502" s="7" t="s">
        <v>1941</v>
      </c>
      <c r="B502" s="8" t="s">
        <v>1942</v>
      </c>
      <c r="C502" s="7" t="s">
        <v>1916</v>
      </c>
      <c r="D502" s="7" t="s">
        <v>80</v>
      </c>
      <c r="E502" s="8" t="s">
        <v>1943</v>
      </c>
      <c r="F502" s="8" t="s">
        <v>1944</v>
      </c>
      <c r="G502" s="7" t="s">
        <v>83</v>
      </c>
      <c r="H502" s="8"/>
      <c r="I502" s="9" t="s">
        <v>30</v>
      </c>
      <c r="J502" s="10"/>
      <c r="K502" s="9"/>
      <c r="L502" s="11"/>
    </row>
    <row r="503" customFormat="false" ht="23.85" hidden="false" customHeight="false" outlineLevel="0" collapsed="false">
      <c r="A503" s="7" t="s">
        <v>1945</v>
      </c>
      <c r="B503" s="8" t="s">
        <v>1946</v>
      </c>
      <c r="C503" s="7" t="s">
        <v>1916</v>
      </c>
      <c r="D503" s="7" t="s">
        <v>80</v>
      </c>
      <c r="E503" s="8" t="s">
        <v>1947</v>
      </c>
      <c r="F503" s="8" t="s">
        <v>1948</v>
      </c>
      <c r="G503" s="7" t="s">
        <v>83</v>
      </c>
      <c r="H503" s="8"/>
      <c r="I503" s="9" t="s">
        <v>30</v>
      </c>
      <c r="J503" s="10"/>
      <c r="K503" s="9"/>
      <c r="L503" s="11"/>
    </row>
    <row r="504" customFormat="false" ht="23.85" hidden="false" customHeight="false" outlineLevel="0" collapsed="false">
      <c r="A504" s="7" t="s">
        <v>1949</v>
      </c>
      <c r="B504" s="8" t="s">
        <v>1950</v>
      </c>
      <c r="C504" s="7" t="s">
        <v>1951</v>
      </c>
      <c r="D504" s="7" t="s">
        <v>27</v>
      </c>
      <c r="E504" s="8" t="s">
        <v>1952</v>
      </c>
      <c r="F504" s="8"/>
      <c r="G504" s="7" t="s">
        <v>29</v>
      </c>
      <c r="H504" s="8"/>
      <c r="I504" s="9" t="s">
        <v>30</v>
      </c>
      <c r="J504" s="10"/>
      <c r="K504" s="9"/>
      <c r="L504" s="11"/>
    </row>
    <row r="505" customFormat="false" ht="23.85" hidden="false" customHeight="false" outlineLevel="0" collapsed="false">
      <c r="A505" s="7" t="s">
        <v>1953</v>
      </c>
      <c r="B505" s="8" t="s">
        <v>1954</v>
      </c>
      <c r="C505" s="7" t="s">
        <v>1951</v>
      </c>
      <c r="D505" s="7" t="s">
        <v>33</v>
      </c>
      <c r="E505" s="8" t="s">
        <v>1955</v>
      </c>
      <c r="F505" s="8" t="s">
        <v>1956</v>
      </c>
      <c r="G505" s="7" t="s">
        <v>29</v>
      </c>
      <c r="H505" s="8"/>
      <c r="I505" s="9" t="s">
        <v>30</v>
      </c>
      <c r="J505" s="10"/>
      <c r="K505" s="9"/>
      <c r="L505" s="11"/>
    </row>
    <row r="506" customFormat="false" ht="15" hidden="false" customHeight="false" outlineLevel="0" collapsed="false">
      <c r="A506" s="7" t="s">
        <v>1957</v>
      </c>
      <c r="B506" s="8" t="s">
        <v>1958</v>
      </c>
      <c r="C506" s="7" t="s">
        <v>1951</v>
      </c>
      <c r="D506" s="7" t="s">
        <v>33</v>
      </c>
      <c r="E506" s="8" t="s">
        <v>1959</v>
      </c>
      <c r="F506" s="8" t="s">
        <v>1960</v>
      </c>
      <c r="G506" s="7" t="s">
        <v>29</v>
      </c>
      <c r="H506" s="8"/>
      <c r="I506" s="9" t="s">
        <v>30</v>
      </c>
      <c r="J506" s="10"/>
      <c r="K506" s="9"/>
      <c r="L506" s="11"/>
    </row>
    <row r="507" customFormat="false" ht="23.85" hidden="false" customHeight="false" outlineLevel="0" collapsed="false">
      <c r="A507" s="7" t="s">
        <v>1961</v>
      </c>
      <c r="B507" s="8" t="s">
        <v>1962</v>
      </c>
      <c r="C507" s="7" t="s">
        <v>1951</v>
      </c>
      <c r="D507" s="7" t="s">
        <v>33</v>
      </c>
      <c r="E507" s="8" t="s">
        <v>1963</v>
      </c>
      <c r="F507" s="8" t="s">
        <v>1964</v>
      </c>
      <c r="G507" s="7" t="s">
        <v>29</v>
      </c>
      <c r="H507" s="8"/>
      <c r="I507" s="9" t="s">
        <v>30</v>
      </c>
      <c r="J507" s="10"/>
      <c r="K507" s="9"/>
      <c r="L507" s="11"/>
    </row>
    <row r="508" customFormat="false" ht="23.85" hidden="false" customHeight="false" outlineLevel="0" collapsed="false">
      <c r="A508" s="7" t="s">
        <v>1965</v>
      </c>
      <c r="B508" s="8" t="s">
        <v>1966</v>
      </c>
      <c r="C508" s="7" t="s">
        <v>1951</v>
      </c>
      <c r="D508" s="7" t="s">
        <v>33</v>
      </c>
      <c r="E508" s="8" t="s">
        <v>1967</v>
      </c>
      <c r="F508" s="8" t="s">
        <v>1968</v>
      </c>
      <c r="G508" s="7" t="s">
        <v>29</v>
      </c>
      <c r="H508" s="8"/>
      <c r="I508" s="9" t="s">
        <v>30</v>
      </c>
      <c r="J508" s="10"/>
      <c r="K508" s="9"/>
      <c r="L508" s="11"/>
    </row>
    <row r="509" customFormat="false" ht="23.85" hidden="false" customHeight="false" outlineLevel="0" collapsed="false">
      <c r="A509" s="7" t="s">
        <v>1969</v>
      </c>
      <c r="B509" s="8" t="s">
        <v>1970</v>
      </c>
      <c r="C509" s="7" t="s">
        <v>1951</v>
      </c>
      <c r="D509" s="7" t="s">
        <v>50</v>
      </c>
      <c r="E509" s="8" t="s">
        <v>1971</v>
      </c>
      <c r="F509" s="8"/>
      <c r="G509" s="7" t="s">
        <v>29</v>
      </c>
      <c r="H509" s="8"/>
      <c r="I509" s="9" t="s">
        <v>30</v>
      </c>
      <c r="J509" s="10"/>
      <c r="K509" s="9"/>
      <c r="L509" s="11"/>
    </row>
    <row r="510" customFormat="false" ht="23.85" hidden="false" customHeight="false" outlineLevel="0" collapsed="false">
      <c r="A510" s="7" t="s">
        <v>1972</v>
      </c>
      <c r="B510" s="8" t="s">
        <v>1973</v>
      </c>
      <c r="C510" s="7" t="s">
        <v>1951</v>
      </c>
      <c r="D510" s="7" t="s">
        <v>80</v>
      </c>
      <c r="E510" s="8" t="s">
        <v>1974</v>
      </c>
      <c r="F510" s="8" t="s">
        <v>1975</v>
      </c>
      <c r="G510" s="7" t="s">
        <v>83</v>
      </c>
      <c r="H510" s="8"/>
      <c r="I510" s="9" t="s">
        <v>30</v>
      </c>
      <c r="J510" s="10"/>
      <c r="K510" s="9"/>
      <c r="L510" s="11"/>
    </row>
    <row r="511" customFormat="false" ht="23.85" hidden="false" customHeight="false" outlineLevel="0" collapsed="false">
      <c r="A511" s="7" t="s">
        <v>1976</v>
      </c>
      <c r="B511" s="8" t="s">
        <v>1977</v>
      </c>
      <c r="C511" s="7" t="s">
        <v>1951</v>
      </c>
      <c r="D511" s="7" t="s">
        <v>80</v>
      </c>
      <c r="E511" s="8" t="s">
        <v>1978</v>
      </c>
      <c r="F511" s="8" t="s">
        <v>1979</v>
      </c>
      <c r="G511" s="7" t="s">
        <v>83</v>
      </c>
      <c r="H511" s="8"/>
      <c r="I511" s="9" t="s">
        <v>30</v>
      </c>
      <c r="J511" s="10"/>
      <c r="K511" s="9"/>
      <c r="L511" s="11"/>
    </row>
    <row r="512" customFormat="false" ht="23.85" hidden="false" customHeight="false" outlineLevel="0" collapsed="false">
      <c r="A512" s="7" t="s">
        <v>1980</v>
      </c>
      <c r="B512" s="8" t="s">
        <v>1981</v>
      </c>
      <c r="C512" s="7" t="s">
        <v>1951</v>
      </c>
      <c r="D512" s="7" t="s">
        <v>80</v>
      </c>
      <c r="E512" s="8" t="s">
        <v>1982</v>
      </c>
      <c r="F512" s="8" t="s">
        <v>1983</v>
      </c>
      <c r="G512" s="7" t="s">
        <v>83</v>
      </c>
      <c r="H512" s="8"/>
      <c r="I512" s="9" t="s">
        <v>30</v>
      </c>
      <c r="J512" s="10"/>
      <c r="K512" s="9"/>
      <c r="L512" s="11"/>
    </row>
    <row r="513" customFormat="false" ht="23.85" hidden="false" customHeight="false" outlineLevel="0" collapsed="false">
      <c r="A513" s="7" t="s">
        <v>1984</v>
      </c>
      <c r="B513" s="8" t="s">
        <v>1985</v>
      </c>
      <c r="C513" s="7" t="s">
        <v>1986</v>
      </c>
      <c r="D513" s="7" t="s">
        <v>27</v>
      </c>
      <c r="E513" s="8" t="s">
        <v>1987</v>
      </c>
      <c r="F513" s="8"/>
      <c r="G513" s="7" t="s">
        <v>29</v>
      </c>
      <c r="H513" s="8"/>
      <c r="I513" s="9" t="s">
        <v>30</v>
      </c>
      <c r="J513" s="10"/>
      <c r="K513" s="9"/>
      <c r="L513" s="11"/>
    </row>
    <row r="514" customFormat="false" ht="23.85" hidden="false" customHeight="false" outlineLevel="0" collapsed="false">
      <c r="A514" s="7" t="s">
        <v>1988</v>
      </c>
      <c r="B514" s="8" t="s">
        <v>1989</v>
      </c>
      <c r="C514" s="7" t="s">
        <v>1986</v>
      </c>
      <c r="D514" s="7" t="s">
        <v>33</v>
      </c>
      <c r="E514" s="8" t="s">
        <v>1990</v>
      </c>
      <c r="F514" s="8" t="s">
        <v>1991</v>
      </c>
      <c r="G514" s="7" t="s">
        <v>29</v>
      </c>
      <c r="H514" s="8"/>
      <c r="I514" s="9" t="s">
        <v>30</v>
      </c>
      <c r="J514" s="10"/>
      <c r="K514" s="9"/>
      <c r="L514" s="11"/>
    </row>
    <row r="515" customFormat="false" ht="23.85" hidden="false" customHeight="false" outlineLevel="0" collapsed="false">
      <c r="A515" s="7" t="s">
        <v>1992</v>
      </c>
      <c r="B515" s="8" t="s">
        <v>1993</v>
      </c>
      <c r="C515" s="7" t="s">
        <v>1986</v>
      </c>
      <c r="D515" s="7" t="s">
        <v>33</v>
      </c>
      <c r="E515" s="8" t="s">
        <v>1994</v>
      </c>
      <c r="F515" s="8" t="s">
        <v>1995</v>
      </c>
      <c r="G515" s="7" t="s">
        <v>29</v>
      </c>
      <c r="H515" s="8"/>
      <c r="I515" s="9" t="s">
        <v>30</v>
      </c>
      <c r="J515" s="10"/>
      <c r="K515" s="9"/>
      <c r="L515" s="11"/>
    </row>
    <row r="516" customFormat="false" ht="35.05" hidden="false" customHeight="false" outlineLevel="0" collapsed="false">
      <c r="A516" s="7" t="s">
        <v>1996</v>
      </c>
      <c r="B516" s="8" t="s">
        <v>1997</v>
      </c>
      <c r="C516" s="7" t="s">
        <v>1986</v>
      </c>
      <c r="D516" s="7" t="s">
        <v>33</v>
      </c>
      <c r="E516" s="8" t="s">
        <v>1998</v>
      </c>
      <c r="F516" s="8" t="s">
        <v>1891</v>
      </c>
      <c r="G516" s="7" t="s">
        <v>29</v>
      </c>
      <c r="H516" s="8" t="s">
        <v>1887</v>
      </c>
      <c r="I516" s="9" t="s">
        <v>30</v>
      </c>
      <c r="J516" s="10"/>
      <c r="K516" s="9"/>
      <c r="L516" s="11"/>
    </row>
    <row r="517" customFormat="false" ht="23.85" hidden="false" customHeight="false" outlineLevel="0" collapsed="false">
      <c r="A517" s="7" t="s">
        <v>1999</v>
      </c>
      <c r="B517" s="8" t="s">
        <v>2000</v>
      </c>
      <c r="C517" s="7" t="s">
        <v>1986</v>
      </c>
      <c r="D517" s="7" t="s">
        <v>50</v>
      </c>
      <c r="E517" s="8" t="s">
        <v>2001</v>
      </c>
      <c r="F517" s="8"/>
      <c r="G517" s="7" t="s">
        <v>29</v>
      </c>
      <c r="H517" s="8"/>
      <c r="I517" s="9" t="s">
        <v>30</v>
      </c>
      <c r="J517" s="10"/>
      <c r="K517" s="9"/>
      <c r="L517" s="11"/>
    </row>
    <row r="518" customFormat="false" ht="23.85" hidden="false" customHeight="false" outlineLevel="0" collapsed="false">
      <c r="A518" s="7" t="s">
        <v>2002</v>
      </c>
      <c r="B518" s="8" t="s">
        <v>2003</v>
      </c>
      <c r="C518" s="7" t="s">
        <v>1986</v>
      </c>
      <c r="D518" s="7" t="s">
        <v>80</v>
      </c>
      <c r="E518" s="8" t="s">
        <v>2004</v>
      </c>
      <c r="F518" s="8" t="s">
        <v>2005</v>
      </c>
      <c r="G518" s="7" t="s">
        <v>83</v>
      </c>
      <c r="H518" s="8"/>
      <c r="I518" s="9" t="s">
        <v>30</v>
      </c>
      <c r="J518" s="10"/>
      <c r="K518" s="9"/>
      <c r="L518" s="11"/>
    </row>
    <row r="519" customFormat="false" ht="15" hidden="false" customHeight="false" outlineLevel="0" collapsed="false">
      <c r="A519" s="7" t="s">
        <v>2006</v>
      </c>
      <c r="B519" s="8" t="s">
        <v>2007</v>
      </c>
      <c r="C519" s="7" t="s">
        <v>1986</v>
      </c>
      <c r="D519" s="7" t="s">
        <v>80</v>
      </c>
      <c r="E519" s="8" t="s">
        <v>2008</v>
      </c>
      <c r="F519" s="8" t="s">
        <v>2009</v>
      </c>
      <c r="G519" s="7" t="s">
        <v>83</v>
      </c>
      <c r="H519" s="8"/>
      <c r="I519" s="9" t="s">
        <v>30</v>
      </c>
      <c r="J519" s="10"/>
      <c r="K519" s="9"/>
      <c r="L519" s="11"/>
    </row>
    <row r="520" customFormat="false" ht="35.05" hidden="false" customHeight="false" outlineLevel="0" collapsed="false">
      <c r="A520" s="7" t="s">
        <v>2010</v>
      </c>
      <c r="B520" s="8" t="s">
        <v>2011</v>
      </c>
      <c r="C520" s="7" t="s">
        <v>1986</v>
      </c>
      <c r="D520" s="7" t="s">
        <v>80</v>
      </c>
      <c r="E520" s="8" t="s">
        <v>2012</v>
      </c>
      <c r="F520" s="8" t="s">
        <v>1905</v>
      </c>
      <c r="G520" s="7" t="s">
        <v>83</v>
      </c>
      <c r="H520" s="8" t="s">
        <v>1887</v>
      </c>
      <c r="I520" s="9" t="s">
        <v>30</v>
      </c>
      <c r="J520" s="10"/>
      <c r="K520" s="9"/>
      <c r="L520" s="11"/>
    </row>
    <row r="521" customFormat="false" ht="23.85" hidden="false" customHeight="false" outlineLevel="0" collapsed="false">
      <c r="A521" s="7" t="s">
        <v>2013</v>
      </c>
      <c r="B521" s="8" t="s">
        <v>2014</v>
      </c>
      <c r="C521" s="7" t="s">
        <v>2015</v>
      </c>
      <c r="D521" s="7" t="s">
        <v>1248</v>
      </c>
      <c r="E521" s="8" t="s">
        <v>2016</v>
      </c>
      <c r="F521" s="8"/>
      <c r="G521" s="7" t="s">
        <v>29</v>
      </c>
      <c r="H521" s="8"/>
      <c r="I521" s="9" t="s">
        <v>30</v>
      </c>
      <c r="J521" s="10"/>
      <c r="K521" s="9"/>
      <c r="L521" s="11"/>
    </row>
    <row r="522" customFormat="false" ht="23.85" hidden="false" customHeight="false" outlineLevel="0" collapsed="false">
      <c r="A522" s="7" t="s">
        <v>2017</v>
      </c>
      <c r="B522" s="8" t="s">
        <v>2018</v>
      </c>
      <c r="C522" s="7" t="s">
        <v>2019</v>
      </c>
      <c r="D522" s="7" t="s">
        <v>27</v>
      </c>
      <c r="E522" s="8" t="s">
        <v>2020</v>
      </c>
      <c r="F522" s="8"/>
      <c r="G522" s="7" t="s">
        <v>29</v>
      </c>
      <c r="H522" s="8"/>
      <c r="I522" s="9" t="s">
        <v>30</v>
      </c>
      <c r="J522" s="10"/>
      <c r="K522" s="9"/>
      <c r="L522" s="11"/>
    </row>
    <row r="523" customFormat="false" ht="35.05" hidden="false" customHeight="false" outlineLevel="0" collapsed="false">
      <c r="A523" s="7" t="s">
        <v>2021</v>
      </c>
      <c r="B523" s="8" t="s">
        <v>2022</v>
      </c>
      <c r="C523" s="7" t="s">
        <v>2019</v>
      </c>
      <c r="D523" s="7" t="s">
        <v>33</v>
      </c>
      <c r="E523" s="8" t="s">
        <v>2023</v>
      </c>
      <c r="F523" s="8" t="s">
        <v>2024</v>
      </c>
      <c r="G523" s="7" t="s">
        <v>29</v>
      </c>
      <c r="H523" s="8"/>
      <c r="I523" s="9" t="s">
        <v>30</v>
      </c>
      <c r="J523" s="10"/>
      <c r="K523" s="9"/>
      <c r="L523" s="11"/>
    </row>
    <row r="524" customFormat="false" ht="23.85" hidden="false" customHeight="false" outlineLevel="0" collapsed="false">
      <c r="A524" s="7" t="s">
        <v>2025</v>
      </c>
      <c r="B524" s="8" t="s">
        <v>2026</v>
      </c>
      <c r="C524" s="7" t="s">
        <v>2019</v>
      </c>
      <c r="D524" s="7" t="s">
        <v>33</v>
      </c>
      <c r="E524" s="8" t="s">
        <v>2027</v>
      </c>
      <c r="F524" s="8" t="s">
        <v>2028</v>
      </c>
      <c r="G524" s="7" t="s">
        <v>29</v>
      </c>
      <c r="H524" s="8"/>
      <c r="I524" s="9" t="s">
        <v>30</v>
      </c>
      <c r="J524" s="10"/>
      <c r="K524" s="9"/>
      <c r="L524" s="11"/>
    </row>
    <row r="525" customFormat="false" ht="23.85" hidden="false" customHeight="false" outlineLevel="0" collapsed="false">
      <c r="A525" s="7" t="s">
        <v>2029</v>
      </c>
      <c r="B525" s="8" t="s">
        <v>2030</v>
      </c>
      <c r="C525" s="7" t="s">
        <v>2019</v>
      </c>
      <c r="D525" s="7" t="s">
        <v>33</v>
      </c>
      <c r="E525" s="8" t="s">
        <v>2031</v>
      </c>
      <c r="F525" s="8" t="s">
        <v>2032</v>
      </c>
      <c r="G525" s="7" t="s">
        <v>29</v>
      </c>
      <c r="H525" s="8"/>
      <c r="I525" s="9" t="s">
        <v>30</v>
      </c>
      <c r="J525" s="10"/>
      <c r="K525" s="9"/>
      <c r="L525" s="11"/>
    </row>
    <row r="526" customFormat="false" ht="23.85" hidden="false" customHeight="false" outlineLevel="0" collapsed="false">
      <c r="A526" s="7" t="s">
        <v>2033</v>
      </c>
      <c r="B526" s="8" t="s">
        <v>2034</v>
      </c>
      <c r="C526" s="7" t="s">
        <v>2019</v>
      </c>
      <c r="D526" s="7" t="s">
        <v>33</v>
      </c>
      <c r="E526" s="8" t="s">
        <v>2035</v>
      </c>
      <c r="F526" s="8" t="s">
        <v>2036</v>
      </c>
      <c r="G526" s="7" t="s">
        <v>29</v>
      </c>
      <c r="H526" s="8" t="s">
        <v>2037</v>
      </c>
      <c r="I526" s="9" t="s">
        <v>30</v>
      </c>
      <c r="J526" s="10"/>
      <c r="K526" s="9"/>
      <c r="L526" s="11"/>
    </row>
    <row r="527" customFormat="false" ht="23.85" hidden="false" customHeight="false" outlineLevel="0" collapsed="false">
      <c r="A527" s="7" t="s">
        <v>2038</v>
      </c>
      <c r="B527" s="8" t="s">
        <v>2039</v>
      </c>
      <c r="C527" s="7" t="s">
        <v>2019</v>
      </c>
      <c r="D527" s="7" t="s">
        <v>50</v>
      </c>
      <c r="E527" s="8" t="s">
        <v>2040</v>
      </c>
      <c r="F527" s="8"/>
      <c r="G527" s="7" t="s">
        <v>29</v>
      </c>
      <c r="H527" s="8"/>
      <c r="I527" s="9" t="s">
        <v>30</v>
      </c>
      <c r="J527" s="10"/>
      <c r="K527" s="9"/>
      <c r="L527" s="11"/>
    </row>
    <row r="528" customFormat="false" ht="35.05" hidden="false" customHeight="false" outlineLevel="0" collapsed="false">
      <c r="A528" s="7" t="s">
        <v>2041</v>
      </c>
      <c r="B528" s="8" t="s">
        <v>2042</v>
      </c>
      <c r="C528" s="7" t="s">
        <v>2019</v>
      </c>
      <c r="D528" s="7" t="s">
        <v>80</v>
      </c>
      <c r="E528" s="8" t="s">
        <v>2043</v>
      </c>
      <c r="F528" s="8" t="s">
        <v>2044</v>
      </c>
      <c r="G528" s="7" t="s">
        <v>83</v>
      </c>
      <c r="H528" s="8"/>
      <c r="I528" s="9" t="s">
        <v>30</v>
      </c>
      <c r="J528" s="10"/>
      <c r="K528" s="9"/>
      <c r="L528" s="11"/>
    </row>
    <row r="529" customFormat="false" ht="57.45" hidden="false" customHeight="false" outlineLevel="0" collapsed="false">
      <c r="A529" s="7" t="s">
        <v>2045</v>
      </c>
      <c r="B529" s="8" t="s">
        <v>2046</v>
      </c>
      <c r="C529" s="7" t="s">
        <v>2019</v>
      </c>
      <c r="D529" s="7" t="s">
        <v>80</v>
      </c>
      <c r="E529" s="8" t="s">
        <v>2047</v>
      </c>
      <c r="F529" s="8" t="s">
        <v>2048</v>
      </c>
      <c r="G529" s="7" t="s">
        <v>83</v>
      </c>
      <c r="H529" s="8"/>
      <c r="I529" s="9" t="s">
        <v>30</v>
      </c>
      <c r="J529" s="10"/>
      <c r="K529" s="9"/>
      <c r="L529" s="11"/>
    </row>
    <row r="530" customFormat="false" ht="68.65" hidden="false" customHeight="false" outlineLevel="0" collapsed="false">
      <c r="A530" s="7" t="s">
        <v>2049</v>
      </c>
      <c r="B530" s="8" t="s">
        <v>2050</v>
      </c>
      <c r="C530" s="7" t="s">
        <v>2019</v>
      </c>
      <c r="D530" s="7" t="s">
        <v>80</v>
      </c>
      <c r="E530" s="8" t="s">
        <v>2051</v>
      </c>
      <c r="F530" s="8" t="s">
        <v>2052</v>
      </c>
      <c r="G530" s="7" t="s">
        <v>83</v>
      </c>
      <c r="H530" s="8"/>
      <c r="I530" s="9" t="s">
        <v>30</v>
      </c>
      <c r="J530" s="10"/>
      <c r="K530" s="9"/>
      <c r="L530" s="11"/>
    </row>
    <row r="531" customFormat="false" ht="15" hidden="false" customHeight="false" outlineLevel="0" collapsed="false">
      <c r="A531" s="7" t="s">
        <v>2053</v>
      </c>
      <c r="B531" s="8" t="s">
        <v>2054</v>
      </c>
      <c r="C531" s="7" t="s">
        <v>2055</v>
      </c>
      <c r="D531" s="7" t="s">
        <v>27</v>
      </c>
      <c r="E531" s="8" t="s">
        <v>2056</v>
      </c>
      <c r="F531" s="8"/>
      <c r="G531" s="7" t="s">
        <v>29</v>
      </c>
      <c r="H531" s="8"/>
      <c r="I531" s="9" t="s">
        <v>30</v>
      </c>
      <c r="J531" s="10"/>
      <c r="K531" s="9"/>
      <c r="L531" s="11"/>
    </row>
    <row r="532" customFormat="false" ht="23.85" hidden="false" customHeight="false" outlineLevel="0" collapsed="false">
      <c r="A532" s="7" t="s">
        <v>2057</v>
      </c>
      <c r="B532" s="8" t="s">
        <v>2058</v>
      </c>
      <c r="C532" s="7" t="s">
        <v>2055</v>
      </c>
      <c r="D532" s="7" t="s">
        <v>33</v>
      </c>
      <c r="E532" s="8" t="s">
        <v>2059</v>
      </c>
      <c r="F532" s="8" t="s">
        <v>2060</v>
      </c>
      <c r="G532" s="7" t="s">
        <v>29</v>
      </c>
      <c r="H532" s="8"/>
      <c r="I532" s="9" t="s">
        <v>30</v>
      </c>
      <c r="J532" s="10"/>
      <c r="K532" s="9"/>
      <c r="L532" s="11"/>
    </row>
    <row r="533" customFormat="false" ht="23.85" hidden="false" customHeight="false" outlineLevel="0" collapsed="false">
      <c r="A533" s="7" t="s">
        <v>2061</v>
      </c>
      <c r="B533" s="8" t="s">
        <v>2062</v>
      </c>
      <c r="C533" s="7" t="s">
        <v>2055</v>
      </c>
      <c r="D533" s="7" t="s">
        <v>33</v>
      </c>
      <c r="E533" s="8" t="s">
        <v>2063</v>
      </c>
      <c r="F533" s="8" t="s">
        <v>2064</v>
      </c>
      <c r="G533" s="7" t="s">
        <v>29</v>
      </c>
      <c r="H533" s="8"/>
      <c r="I533" s="9" t="s">
        <v>30</v>
      </c>
      <c r="J533" s="10"/>
      <c r="K533" s="9"/>
      <c r="L533" s="11"/>
    </row>
    <row r="534" customFormat="false" ht="23.85" hidden="false" customHeight="false" outlineLevel="0" collapsed="false">
      <c r="A534" s="7" t="s">
        <v>2065</v>
      </c>
      <c r="B534" s="8" t="s">
        <v>2066</v>
      </c>
      <c r="C534" s="7" t="s">
        <v>2055</v>
      </c>
      <c r="D534" s="7" t="s">
        <v>33</v>
      </c>
      <c r="E534" s="8" t="s">
        <v>2067</v>
      </c>
      <c r="F534" s="8" t="s">
        <v>2068</v>
      </c>
      <c r="G534" s="7" t="s">
        <v>29</v>
      </c>
      <c r="H534" s="8"/>
      <c r="I534" s="9" t="s">
        <v>30</v>
      </c>
      <c r="J534" s="10"/>
      <c r="K534" s="9"/>
      <c r="L534" s="11"/>
    </row>
    <row r="535" customFormat="false" ht="15" hidden="false" customHeight="false" outlineLevel="0" collapsed="false">
      <c r="A535" s="7" t="s">
        <v>2069</v>
      </c>
      <c r="B535" s="8" t="s">
        <v>2070</v>
      </c>
      <c r="C535" s="7" t="s">
        <v>2055</v>
      </c>
      <c r="D535" s="7" t="s">
        <v>33</v>
      </c>
      <c r="E535" s="8" t="s">
        <v>2071</v>
      </c>
      <c r="F535" s="8" t="s">
        <v>2072</v>
      </c>
      <c r="G535" s="7" t="s">
        <v>29</v>
      </c>
      <c r="H535" s="8"/>
      <c r="I535" s="9" t="s">
        <v>30</v>
      </c>
      <c r="J535" s="10"/>
      <c r="K535" s="9"/>
      <c r="L535" s="11"/>
    </row>
    <row r="536" customFormat="false" ht="23.85" hidden="false" customHeight="false" outlineLevel="0" collapsed="false">
      <c r="A536" s="7" t="s">
        <v>2073</v>
      </c>
      <c r="B536" s="8" t="s">
        <v>2074</v>
      </c>
      <c r="C536" s="7" t="s">
        <v>2055</v>
      </c>
      <c r="D536" s="7" t="s">
        <v>50</v>
      </c>
      <c r="E536" s="8" t="s">
        <v>2075</v>
      </c>
      <c r="F536" s="8"/>
      <c r="G536" s="7" t="s">
        <v>29</v>
      </c>
      <c r="H536" s="8"/>
      <c r="I536" s="9" t="s">
        <v>30</v>
      </c>
      <c r="J536" s="10"/>
      <c r="K536" s="9"/>
      <c r="L536" s="11"/>
    </row>
    <row r="537" customFormat="false" ht="46.25" hidden="false" customHeight="false" outlineLevel="0" collapsed="false">
      <c r="A537" s="7" t="s">
        <v>2076</v>
      </c>
      <c r="B537" s="8" t="s">
        <v>2077</v>
      </c>
      <c r="C537" s="7" t="s">
        <v>2055</v>
      </c>
      <c r="D537" s="7" t="s">
        <v>80</v>
      </c>
      <c r="E537" s="8" t="s">
        <v>2078</v>
      </c>
      <c r="F537" s="8" t="s">
        <v>2079</v>
      </c>
      <c r="G537" s="7" t="s">
        <v>83</v>
      </c>
      <c r="H537" s="8"/>
      <c r="I537" s="9" t="s">
        <v>30</v>
      </c>
      <c r="J537" s="10"/>
      <c r="K537" s="9"/>
      <c r="L537" s="11"/>
    </row>
    <row r="538" customFormat="false" ht="46.25" hidden="false" customHeight="false" outlineLevel="0" collapsed="false">
      <c r="A538" s="7" t="s">
        <v>2080</v>
      </c>
      <c r="B538" s="8" t="s">
        <v>2081</v>
      </c>
      <c r="C538" s="7" t="s">
        <v>2055</v>
      </c>
      <c r="D538" s="7" t="s">
        <v>80</v>
      </c>
      <c r="E538" s="8" t="s">
        <v>2082</v>
      </c>
      <c r="F538" s="8" t="s">
        <v>2083</v>
      </c>
      <c r="G538" s="7" t="s">
        <v>83</v>
      </c>
      <c r="H538" s="8"/>
      <c r="I538" s="9" t="s">
        <v>30</v>
      </c>
      <c r="J538" s="10"/>
      <c r="K538" s="9"/>
      <c r="L538" s="11"/>
    </row>
    <row r="539" customFormat="false" ht="35.05" hidden="false" customHeight="false" outlineLevel="0" collapsed="false">
      <c r="A539" s="7" t="s">
        <v>2084</v>
      </c>
      <c r="B539" s="8" t="s">
        <v>2085</v>
      </c>
      <c r="C539" s="7" t="s">
        <v>2055</v>
      </c>
      <c r="D539" s="7" t="s">
        <v>80</v>
      </c>
      <c r="E539" s="8" t="s">
        <v>2086</v>
      </c>
      <c r="F539" s="8" t="s">
        <v>2087</v>
      </c>
      <c r="G539" s="7" t="s">
        <v>83</v>
      </c>
      <c r="H539" s="8"/>
      <c r="I539" s="9" t="s">
        <v>30</v>
      </c>
      <c r="J539" s="10"/>
      <c r="K539" s="9"/>
      <c r="L539" s="11"/>
    </row>
    <row r="540" customFormat="false" ht="15" hidden="false" customHeight="false" outlineLevel="0" collapsed="false">
      <c r="A540" s="7" t="s">
        <v>2088</v>
      </c>
      <c r="B540" s="8" t="s">
        <v>2089</v>
      </c>
      <c r="C540" s="7" t="s">
        <v>2090</v>
      </c>
      <c r="D540" s="7" t="s">
        <v>27</v>
      </c>
      <c r="E540" s="8" t="s">
        <v>2091</v>
      </c>
      <c r="F540" s="8"/>
      <c r="G540" s="7" t="s">
        <v>29</v>
      </c>
      <c r="H540" s="8"/>
      <c r="I540" s="9" t="s">
        <v>30</v>
      </c>
      <c r="J540" s="10"/>
      <c r="K540" s="9"/>
      <c r="L540" s="11"/>
    </row>
    <row r="541" customFormat="false" ht="23.85" hidden="false" customHeight="false" outlineLevel="0" collapsed="false">
      <c r="A541" s="7" t="s">
        <v>2092</v>
      </c>
      <c r="B541" s="8" t="s">
        <v>2093</v>
      </c>
      <c r="C541" s="7" t="s">
        <v>2090</v>
      </c>
      <c r="D541" s="7" t="s">
        <v>33</v>
      </c>
      <c r="E541" s="8" t="s">
        <v>2094</v>
      </c>
      <c r="F541" s="8" t="s">
        <v>2095</v>
      </c>
      <c r="G541" s="7" t="s">
        <v>29</v>
      </c>
      <c r="H541" s="8"/>
      <c r="I541" s="9" t="s">
        <v>30</v>
      </c>
      <c r="J541" s="10"/>
      <c r="K541" s="9"/>
      <c r="L541" s="11"/>
    </row>
    <row r="542" customFormat="false" ht="23.85" hidden="false" customHeight="false" outlineLevel="0" collapsed="false">
      <c r="A542" s="7" t="s">
        <v>2096</v>
      </c>
      <c r="B542" s="8" t="s">
        <v>2097</v>
      </c>
      <c r="C542" s="7" t="s">
        <v>2090</v>
      </c>
      <c r="D542" s="7" t="s">
        <v>33</v>
      </c>
      <c r="E542" s="8" t="s">
        <v>2098</v>
      </c>
      <c r="F542" s="8" t="s">
        <v>2099</v>
      </c>
      <c r="G542" s="7" t="s">
        <v>29</v>
      </c>
      <c r="H542" s="8"/>
      <c r="I542" s="9" t="s">
        <v>30</v>
      </c>
      <c r="J542" s="10"/>
      <c r="K542" s="9"/>
      <c r="L542" s="11"/>
    </row>
    <row r="543" customFormat="false" ht="23.85" hidden="false" customHeight="false" outlineLevel="0" collapsed="false">
      <c r="A543" s="7" t="s">
        <v>2100</v>
      </c>
      <c r="B543" s="8" t="s">
        <v>2101</v>
      </c>
      <c r="C543" s="7" t="s">
        <v>2090</v>
      </c>
      <c r="D543" s="7" t="s">
        <v>33</v>
      </c>
      <c r="E543" s="8" t="s">
        <v>2102</v>
      </c>
      <c r="F543" s="8" t="s">
        <v>2103</v>
      </c>
      <c r="G543" s="7" t="s">
        <v>29</v>
      </c>
      <c r="H543" s="8"/>
      <c r="I543" s="9" t="s">
        <v>30</v>
      </c>
      <c r="J543" s="10"/>
      <c r="K543" s="9"/>
      <c r="L543" s="11"/>
    </row>
    <row r="544" customFormat="false" ht="23.85" hidden="false" customHeight="false" outlineLevel="0" collapsed="false">
      <c r="A544" s="7" t="s">
        <v>2104</v>
      </c>
      <c r="B544" s="8" t="s">
        <v>2105</v>
      </c>
      <c r="C544" s="7" t="s">
        <v>2090</v>
      </c>
      <c r="D544" s="7" t="s">
        <v>50</v>
      </c>
      <c r="E544" s="8" t="s">
        <v>2106</v>
      </c>
      <c r="F544" s="8"/>
      <c r="G544" s="7" t="s">
        <v>29</v>
      </c>
      <c r="H544" s="8"/>
      <c r="I544" s="9" t="s">
        <v>30</v>
      </c>
      <c r="J544" s="10"/>
      <c r="K544" s="9"/>
      <c r="L544" s="11"/>
    </row>
    <row r="545" customFormat="false" ht="23.85" hidden="false" customHeight="false" outlineLevel="0" collapsed="false">
      <c r="A545" s="7" t="s">
        <v>2107</v>
      </c>
      <c r="B545" s="8" t="s">
        <v>2108</v>
      </c>
      <c r="C545" s="7" t="s">
        <v>2090</v>
      </c>
      <c r="D545" s="7" t="s">
        <v>80</v>
      </c>
      <c r="E545" s="8" t="s">
        <v>2109</v>
      </c>
      <c r="F545" s="8" t="s">
        <v>2110</v>
      </c>
      <c r="G545" s="7" t="s">
        <v>83</v>
      </c>
      <c r="H545" s="8"/>
      <c r="I545" s="9" t="s">
        <v>30</v>
      </c>
      <c r="J545" s="10"/>
      <c r="K545" s="9"/>
      <c r="L545" s="11"/>
    </row>
    <row r="546" customFormat="false" ht="23.85" hidden="false" customHeight="false" outlineLevel="0" collapsed="false">
      <c r="A546" s="7" t="s">
        <v>2111</v>
      </c>
      <c r="B546" s="8" t="s">
        <v>2112</v>
      </c>
      <c r="C546" s="7" t="s">
        <v>2090</v>
      </c>
      <c r="D546" s="7" t="s">
        <v>80</v>
      </c>
      <c r="E546" s="8" t="s">
        <v>2113</v>
      </c>
      <c r="F546" s="8" t="s">
        <v>2114</v>
      </c>
      <c r="G546" s="7" t="s">
        <v>83</v>
      </c>
      <c r="H546" s="8"/>
      <c r="I546" s="9" t="s">
        <v>30</v>
      </c>
      <c r="J546" s="10"/>
      <c r="K546" s="9"/>
      <c r="L546" s="11"/>
    </row>
    <row r="547" customFormat="false" ht="23.85" hidden="false" customHeight="false" outlineLevel="0" collapsed="false">
      <c r="A547" s="7" t="s">
        <v>2115</v>
      </c>
      <c r="B547" s="8" t="s">
        <v>2116</v>
      </c>
      <c r="C547" s="7" t="s">
        <v>2090</v>
      </c>
      <c r="D547" s="7" t="s">
        <v>80</v>
      </c>
      <c r="E547" s="8" t="s">
        <v>2117</v>
      </c>
      <c r="F547" s="8" t="s">
        <v>2118</v>
      </c>
      <c r="G547" s="7" t="s">
        <v>83</v>
      </c>
      <c r="H547" s="8"/>
      <c r="I547" s="9" t="s">
        <v>30</v>
      </c>
      <c r="J547" s="10"/>
      <c r="K547" s="9"/>
      <c r="L547" s="11"/>
    </row>
    <row r="548" customFormat="false" ht="23.85" hidden="false" customHeight="false" outlineLevel="0" collapsed="false">
      <c r="A548" s="7" t="s">
        <v>2119</v>
      </c>
      <c r="B548" s="8" t="s">
        <v>2120</v>
      </c>
      <c r="C548" s="7" t="s">
        <v>2121</v>
      </c>
      <c r="D548" s="7" t="s">
        <v>27</v>
      </c>
      <c r="E548" s="8" t="s">
        <v>2122</v>
      </c>
      <c r="F548" s="8"/>
      <c r="G548" s="7" t="s">
        <v>29</v>
      </c>
      <c r="H548" s="8"/>
      <c r="I548" s="9" t="s">
        <v>30</v>
      </c>
      <c r="J548" s="10"/>
      <c r="K548" s="9"/>
      <c r="L548" s="11"/>
    </row>
    <row r="549" customFormat="false" ht="23.85" hidden="false" customHeight="false" outlineLevel="0" collapsed="false">
      <c r="A549" s="7" t="s">
        <v>2123</v>
      </c>
      <c r="B549" s="8" t="s">
        <v>2124</v>
      </c>
      <c r="C549" s="7" t="s">
        <v>2121</v>
      </c>
      <c r="D549" s="7" t="s">
        <v>33</v>
      </c>
      <c r="E549" s="8" t="s">
        <v>2125</v>
      </c>
      <c r="F549" s="8" t="s">
        <v>2126</v>
      </c>
      <c r="G549" s="7" t="s">
        <v>29</v>
      </c>
      <c r="H549" s="8"/>
      <c r="I549" s="9" t="s">
        <v>30</v>
      </c>
      <c r="J549" s="10"/>
      <c r="K549" s="9"/>
      <c r="L549" s="11"/>
    </row>
    <row r="550" customFormat="false" ht="23.85" hidden="false" customHeight="false" outlineLevel="0" collapsed="false">
      <c r="A550" s="7" t="s">
        <v>2127</v>
      </c>
      <c r="B550" s="8" t="s">
        <v>2128</v>
      </c>
      <c r="C550" s="7" t="s">
        <v>2121</v>
      </c>
      <c r="D550" s="7" t="s">
        <v>33</v>
      </c>
      <c r="E550" s="8" t="s">
        <v>2129</v>
      </c>
      <c r="F550" s="8" t="s">
        <v>2130</v>
      </c>
      <c r="G550" s="7" t="s">
        <v>29</v>
      </c>
      <c r="H550" s="8"/>
      <c r="I550" s="9" t="s">
        <v>30</v>
      </c>
      <c r="J550" s="10"/>
      <c r="K550" s="9"/>
      <c r="L550" s="11"/>
    </row>
    <row r="551" customFormat="false" ht="15" hidden="false" customHeight="false" outlineLevel="0" collapsed="false">
      <c r="A551" s="7" t="s">
        <v>2131</v>
      </c>
      <c r="B551" s="8" t="s">
        <v>2132</v>
      </c>
      <c r="C551" s="7" t="s">
        <v>2121</v>
      </c>
      <c r="D551" s="7" t="s">
        <v>33</v>
      </c>
      <c r="E551" s="8" t="s">
        <v>2133</v>
      </c>
      <c r="F551" s="8" t="s">
        <v>2134</v>
      </c>
      <c r="G551" s="7" t="s">
        <v>29</v>
      </c>
      <c r="H551" s="8"/>
      <c r="I551" s="9" t="s">
        <v>30</v>
      </c>
      <c r="J551" s="10"/>
      <c r="K551" s="9"/>
      <c r="L551" s="11"/>
    </row>
    <row r="552" customFormat="false" ht="15" hidden="false" customHeight="false" outlineLevel="0" collapsed="false">
      <c r="A552" s="7" t="s">
        <v>2135</v>
      </c>
      <c r="B552" s="8" t="s">
        <v>2136</v>
      </c>
      <c r="C552" s="7" t="s">
        <v>2121</v>
      </c>
      <c r="D552" s="7" t="s">
        <v>33</v>
      </c>
      <c r="E552" s="8" t="s">
        <v>2137</v>
      </c>
      <c r="F552" s="8" t="s">
        <v>2138</v>
      </c>
      <c r="G552" s="7" t="s">
        <v>29</v>
      </c>
      <c r="H552" s="8"/>
      <c r="I552" s="9" t="s">
        <v>30</v>
      </c>
      <c r="J552" s="10"/>
      <c r="K552" s="9"/>
      <c r="L552" s="11"/>
    </row>
    <row r="553" customFormat="false" ht="23.85" hidden="false" customHeight="false" outlineLevel="0" collapsed="false">
      <c r="A553" s="7" t="s">
        <v>2139</v>
      </c>
      <c r="B553" s="8" t="s">
        <v>2140</v>
      </c>
      <c r="C553" s="7" t="s">
        <v>2121</v>
      </c>
      <c r="D553" s="7" t="s">
        <v>50</v>
      </c>
      <c r="E553" s="8" t="s">
        <v>2141</v>
      </c>
      <c r="F553" s="8"/>
      <c r="G553" s="7" t="s">
        <v>29</v>
      </c>
      <c r="H553" s="8"/>
      <c r="I553" s="9" t="s">
        <v>30</v>
      </c>
      <c r="J553" s="10"/>
      <c r="K553" s="9"/>
      <c r="L553" s="11"/>
    </row>
    <row r="554" customFormat="false" ht="23.85" hidden="false" customHeight="false" outlineLevel="0" collapsed="false">
      <c r="A554" s="7" t="s">
        <v>2142</v>
      </c>
      <c r="B554" s="8" t="s">
        <v>2143</v>
      </c>
      <c r="C554" s="7" t="s">
        <v>2121</v>
      </c>
      <c r="D554" s="7" t="s">
        <v>80</v>
      </c>
      <c r="E554" s="8" t="s">
        <v>2144</v>
      </c>
      <c r="F554" s="8" t="s">
        <v>2145</v>
      </c>
      <c r="G554" s="7" t="s">
        <v>83</v>
      </c>
      <c r="H554" s="8"/>
      <c r="I554" s="9" t="s">
        <v>30</v>
      </c>
      <c r="J554" s="10"/>
      <c r="K554" s="9"/>
      <c r="L554" s="11"/>
    </row>
    <row r="555" customFormat="false" ht="23.85" hidden="false" customHeight="false" outlineLevel="0" collapsed="false">
      <c r="A555" s="7" t="s">
        <v>2146</v>
      </c>
      <c r="B555" s="8" t="s">
        <v>2147</v>
      </c>
      <c r="C555" s="7" t="s">
        <v>2121</v>
      </c>
      <c r="D555" s="7" t="s">
        <v>80</v>
      </c>
      <c r="E555" s="8" t="s">
        <v>2148</v>
      </c>
      <c r="F555" s="8" t="s">
        <v>1689</v>
      </c>
      <c r="G555" s="7" t="s">
        <v>83</v>
      </c>
      <c r="H555" s="8"/>
      <c r="I555" s="9" t="s">
        <v>30</v>
      </c>
      <c r="J555" s="10"/>
      <c r="K555" s="9"/>
      <c r="L555" s="11"/>
    </row>
    <row r="556" customFormat="false" ht="15" hidden="false" customHeight="false" outlineLevel="0" collapsed="false">
      <c r="A556" s="7" t="s">
        <v>2149</v>
      </c>
      <c r="B556" s="8" t="s">
        <v>2150</v>
      </c>
      <c r="C556" s="7" t="s">
        <v>2121</v>
      </c>
      <c r="D556" s="7" t="s">
        <v>80</v>
      </c>
      <c r="E556" s="8" t="s">
        <v>2151</v>
      </c>
      <c r="F556" s="8" t="s">
        <v>2152</v>
      </c>
      <c r="G556" s="7" t="s">
        <v>83</v>
      </c>
      <c r="H556" s="8"/>
      <c r="I556" s="9" t="s">
        <v>30</v>
      </c>
      <c r="J556" s="10"/>
      <c r="K556" s="9"/>
      <c r="L556" s="11"/>
    </row>
    <row r="557" customFormat="false" ht="15" hidden="false" customHeight="false" outlineLevel="0" collapsed="false">
      <c r="A557" s="7" t="s">
        <v>2153</v>
      </c>
      <c r="B557" s="8" t="s">
        <v>2154</v>
      </c>
      <c r="C557" s="7" t="s">
        <v>2155</v>
      </c>
      <c r="D557" s="7" t="s">
        <v>27</v>
      </c>
      <c r="E557" s="8" t="s">
        <v>2156</v>
      </c>
      <c r="F557" s="8"/>
      <c r="G557" s="7" t="s">
        <v>29</v>
      </c>
      <c r="H557" s="8"/>
      <c r="I557" s="9" t="s">
        <v>30</v>
      </c>
      <c r="J557" s="10"/>
      <c r="K557" s="9"/>
      <c r="L557" s="11"/>
    </row>
    <row r="558" customFormat="false" ht="23.85" hidden="false" customHeight="false" outlineLevel="0" collapsed="false">
      <c r="A558" s="7" t="s">
        <v>2157</v>
      </c>
      <c r="B558" s="8" t="s">
        <v>2158</v>
      </c>
      <c r="C558" s="7" t="s">
        <v>2155</v>
      </c>
      <c r="D558" s="7" t="s">
        <v>33</v>
      </c>
      <c r="E558" s="8" t="s">
        <v>2159</v>
      </c>
      <c r="F558" s="8" t="s">
        <v>302</v>
      </c>
      <c r="G558" s="7" t="s">
        <v>29</v>
      </c>
      <c r="H558" s="8"/>
      <c r="I558" s="9" t="s">
        <v>30</v>
      </c>
      <c r="J558" s="10"/>
      <c r="K558" s="9"/>
      <c r="L558" s="11"/>
    </row>
    <row r="559" customFormat="false" ht="35.05" hidden="false" customHeight="false" outlineLevel="0" collapsed="false">
      <c r="A559" s="7" t="s">
        <v>2160</v>
      </c>
      <c r="B559" s="8" t="s">
        <v>2161</v>
      </c>
      <c r="C559" s="7" t="s">
        <v>2155</v>
      </c>
      <c r="D559" s="7" t="s">
        <v>33</v>
      </c>
      <c r="E559" s="8" t="s">
        <v>2162</v>
      </c>
      <c r="F559" s="8" t="s">
        <v>2163</v>
      </c>
      <c r="G559" s="7" t="s">
        <v>29</v>
      </c>
      <c r="H559" s="8"/>
      <c r="I559" s="9" t="s">
        <v>30</v>
      </c>
      <c r="J559" s="10"/>
      <c r="K559" s="9"/>
      <c r="L559" s="11"/>
    </row>
    <row r="560" customFormat="false" ht="15" hidden="false" customHeight="false" outlineLevel="0" collapsed="false">
      <c r="A560" s="7" t="s">
        <v>2164</v>
      </c>
      <c r="B560" s="8" t="s">
        <v>2165</v>
      </c>
      <c r="C560" s="7" t="s">
        <v>2155</v>
      </c>
      <c r="D560" s="7" t="s">
        <v>33</v>
      </c>
      <c r="E560" s="8" t="s">
        <v>2166</v>
      </c>
      <c r="F560" s="8" t="s">
        <v>2167</v>
      </c>
      <c r="G560" s="7" t="s">
        <v>29</v>
      </c>
      <c r="H560" s="8" t="s">
        <v>2168</v>
      </c>
      <c r="I560" s="9" t="s">
        <v>30</v>
      </c>
      <c r="J560" s="10"/>
      <c r="K560" s="9"/>
      <c r="L560" s="11"/>
    </row>
    <row r="561" customFormat="false" ht="23.85" hidden="false" customHeight="false" outlineLevel="0" collapsed="false">
      <c r="A561" s="7" t="s">
        <v>2169</v>
      </c>
      <c r="B561" s="8" t="s">
        <v>2170</v>
      </c>
      <c r="C561" s="7" t="s">
        <v>2155</v>
      </c>
      <c r="D561" s="7" t="s">
        <v>33</v>
      </c>
      <c r="E561" s="8" t="s">
        <v>2171</v>
      </c>
      <c r="F561" s="8" t="s">
        <v>2172</v>
      </c>
      <c r="G561" s="7" t="s">
        <v>29</v>
      </c>
      <c r="H561" s="8"/>
      <c r="I561" s="9" t="s">
        <v>30</v>
      </c>
      <c r="J561" s="10"/>
      <c r="K561" s="9"/>
      <c r="L561" s="11"/>
    </row>
    <row r="562" customFormat="false" ht="23.85" hidden="false" customHeight="false" outlineLevel="0" collapsed="false">
      <c r="A562" s="7" t="s">
        <v>2173</v>
      </c>
      <c r="B562" s="8" t="s">
        <v>2174</v>
      </c>
      <c r="C562" s="7" t="s">
        <v>2155</v>
      </c>
      <c r="D562" s="7" t="s">
        <v>50</v>
      </c>
      <c r="E562" s="8" t="s">
        <v>2175</v>
      </c>
      <c r="F562" s="8"/>
      <c r="G562" s="7" t="s">
        <v>29</v>
      </c>
      <c r="H562" s="8"/>
      <c r="I562" s="9" t="s">
        <v>30</v>
      </c>
      <c r="J562" s="10"/>
      <c r="K562" s="9"/>
      <c r="L562" s="11"/>
    </row>
    <row r="563" customFormat="false" ht="23.85" hidden="false" customHeight="false" outlineLevel="0" collapsed="false">
      <c r="A563" s="7" t="s">
        <v>2176</v>
      </c>
      <c r="B563" s="8" t="s">
        <v>2177</v>
      </c>
      <c r="C563" s="7" t="s">
        <v>2155</v>
      </c>
      <c r="D563" s="7" t="s">
        <v>80</v>
      </c>
      <c r="E563" s="8" t="s">
        <v>2178</v>
      </c>
      <c r="F563" s="8" t="s">
        <v>2179</v>
      </c>
      <c r="G563" s="7" t="s">
        <v>83</v>
      </c>
      <c r="H563" s="8"/>
      <c r="I563" s="9" t="s">
        <v>30</v>
      </c>
      <c r="J563" s="10"/>
      <c r="K563" s="9"/>
      <c r="L563" s="11"/>
    </row>
    <row r="564" customFormat="false" ht="23.85" hidden="false" customHeight="false" outlineLevel="0" collapsed="false">
      <c r="A564" s="7" t="s">
        <v>2180</v>
      </c>
      <c r="B564" s="8" t="s">
        <v>2181</v>
      </c>
      <c r="C564" s="7" t="s">
        <v>2155</v>
      </c>
      <c r="D564" s="7" t="s">
        <v>80</v>
      </c>
      <c r="E564" s="8" t="s">
        <v>2182</v>
      </c>
      <c r="F564" s="8" t="s">
        <v>2183</v>
      </c>
      <c r="G564" s="7" t="s">
        <v>83</v>
      </c>
      <c r="H564" s="8"/>
      <c r="I564" s="9" t="s">
        <v>30</v>
      </c>
      <c r="J564" s="10"/>
      <c r="K564" s="9"/>
      <c r="L564" s="11"/>
    </row>
    <row r="565" customFormat="false" ht="35.05" hidden="false" customHeight="false" outlineLevel="0" collapsed="false">
      <c r="A565" s="7" t="s">
        <v>2184</v>
      </c>
      <c r="B565" s="8" t="s">
        <v>2185</v>
      </c>
      <c r="C565" s="7" t="s">
        <v>2155</v>
      </c>
      <c r="D565" s="7" t="s">
        <v>80</v>
      </c>
      <c r="E565" s="8" t="s">
        <v>2186</v>
      </c>
      <c r="F565" s="8" t="s">
        <v>2187</v>
      </c>
      <c r="G565" s="7" t="s">
        <v>83</v>
      </c>
      <c r="H565" s="8" t="s">
        <v>2168</v>
      </c>
      <c r="I565" s="9" t="s">
        <v>30</v>
      </c>
      <c r="J565" s="10"/>
      <c r="K565" s="9"/>
      <c r="L565" s="11"/>
    </row>
    <row r="566" customFormat="false" ht="15" hidden="false" customHeight="false" outlineLevel="0" collapsed="false">
      <c r="A566" s="7" t="s">
        <v>2188</v>
      </c>
      <c r="B566" s="8" t="s">
        <v>2189</v>
      </c>
      <c r="C566" s="7" t="s">
        <v>808</v>
      </c>
      <c r="D566" s="7" t="s">
        <v>27</v>
      </c>
      <c r="E566" s="8" t="s">
        <v>2190</v>
      </c>
      <c r="F566" s="8"/>
      <c r="G566" s="7" t="s">
        <v>29</v>
      </c>
      <c r="H566" s="8"/>
      <c r="I566" s="9" t="s">
        <v>30</v>
      </c>
      <c r="J566" s="10"/>
      <c r="K566" s="9"/>
      <c r="L566" s="11"/>
    </row>
    <row r="567" customFormat="false" ht="23.85" hidden="false" customHeight="false" outlineLevel="0" collapsed="false">
      <c r="A567" s="7" t="s">
        <v>2191</v>
      </c>
      <c r="B567" s="8" t="s">
        <v>2192</v>
      </c>
      <c r="C567" s="7" t="s">
        <v>808</v>
      </c>
      <c r="D567" s="7" t="s">
        <v>33</v>
      </c>
      <c r="E567" s="8" t="s">
        <v>2193</v>
      </c>
      <c r="F567" s="8" t="s">
        <v>2194</v>
      </c>
      <c r="G567" s="7" t="s">
        <v>29</v>
      </c>
      <c r="H567" s="8"/>
      <c r="I567" s="9" t="s">
        <v>30</v>
      </c>
      <c r="J567" s="10"/>
      <c r="K567" s="9"/>
      <c r="L567" s="11"/>
    </row>
    <row r="568" customFormat="false" ht="23.85" hidden="false" customHeight="false" outlineLevel="0" collapsed="false">
      <c r="A568" s="7" t="s">
        <v>2195</v>
      </c>
      <c r="B568" s="8" t="s">
        <v>2196</v>
      </c>
      <c r="C568" s="7" t="s">
        <v>808</v>
      </c>
      <c r="D568" s="7" t="s">
        <v>33</v>
      </c>
      <c r="E568" s="8" t="s">
        <v>2197</v>
      </c>
      <c r="F568" s="8" t="s">
        <v>2198</v>
      </c>
      <c r="G568" s="7" t="s">
        <v>29</v>
      </c>
      <c r="H568" s="8"/>
      <c r="I568" s="9" t="s">
        <v>30</v>
      </c>
      <c r="J568" s="10"/>
      <c r="K568" s="9"/>
      <c r="L568" s="11"/>
    </row>
    <row r="569" customFormat="false" ht="23.85" hidden="false" customHeight="false" outlineLevel="0" collapsed="false">
      <c r="A569" s="7" t="s">
        <v>2199</v>
      </c>
      <c r="B569" s="8" t="s">
        <v>2200</v>
      </c>
      <c r="C569" s="7" t="s">
        <v>808</v>
      </c>
      <c r="D569" s="7" t="s">
        <v>33</v>
      </c>
      <c r="E569" s="8" t="s">
        <v>2201</v>
      </c>
      <c r="F569" s="8" t="s">
        <v>2202</v>
      </c>
      <c r="G569" s="7" t="s">
        <v>29</v>
      </c>
      <c r="H569" s="8" t="s">
        <v>884</v>
      </c>
      <c r="I569" s="9" t="s">
        <v>30</v>
      </c>
      <c r="J569" s="10"/>
      <c r="K569" s="9"/>
      <c r="L569" s="11"/>
    </row>
    <row r="570" customFormat="false" ht="23.85" hidden="false" customHeight="false" outlineLevel="0" collapsed="false">
      <c r="A570" s="7" t="s">
        <v>2203</v>
      </c>
      <c r="B570" s="8" t="s">
        <v>2204</v>
      </c>
      <c r="C570" s="7" t="s">
        <v>808</v>
      </c>
      <c r="D570" s="7" t="s">
        <v>33</v>
      </c>
      <c r="E570" s="8" t="s">
        <v>2205</v>
      </c>
      <c r="F570" s="8" t="s">
        <v>2206</v>
      </c>
      <c r="G570" s="7" t="s">
        <v>29</v>
      </c>
      <c r="H570" s="8"/>
      <c r="I570" s="9" t="s">
        <v>30</v>
      </c>
      <c r="J570" s="10"/>
      <c r="K570" s="9"/>
      <c r="L570" s="11"/>
    </row>
    <row r="571" customFormat="false" ht="23.85" hidden="false" customHeight="false" outlineLevel="0" collapsed="false">
      <c r="A571" s="7" t="s">
        <v>2207</v>
      </c>
      <c r="B571" s="8" t="s">
        <v>2208</v>
      </c>
      <c r="C571" s="7" t="s">
        <v>808</v>
      </c>
      <c r="D571" s="7" t="s">
        <v>50</v>
      </c>
      <c r="E571" s="8" t="s">
        <v>2209</v>
      </c>
      <c r="F571" s="8"/>
      <c r="G571" s="7" t="s">
        <v>29</v>
      </c>
      <c r="H571" s="8"/>
      <c r="I571" s="9" t="s">
        <v>30</v>
      </c>
      <c r="J571" s="10"/>
      <c r="K571" s="9"/>
      <c r="L571" s="11"/>
    </row>
    <row r="572" customFormat="false" ht="23.85" hidden="false" customHeight="false" outlineLevel="0" collapsed="false">
      <c r="A572" s="7" t="s">
        <v>2210</v>
      </c>
      <c r="B572" s="8" t="s">
        <v>2211</v>
      </c>
      <c r="C572" s="7" t="s">
        <v>808</v>
      </c>
      <c r="D572" s="7" t="s">
        <v>80</v>
      </c>
      <c r="E572" s="8" t="s">
        <v>2212</v>
      </c>
      <c r="F572" s="8" t="s">
        <v>2213</v>
      </c>
      <c r="G572" s="7" t="s">
        <v>83</v>
      </c>
      <c r="H572" s="8"/>
      <c r="I572" s="9" t="s">
        <v>30</v>
      </c>
      <c r="J572" s="10"/>
      <c r="K572" s="9"/>
      <c r="L572" s="11"/>
    </row>
    <row r="573" customFormat="false" ht="23.85" hidden="false" customHeight="false" outlineLevel="0" collapsed="false">
      <c r="A573" s="7" t="s">
        <v>2214</v>
      </c>
      <c r="B573" s="8" t="s">
        <v>2215</v>
      </c>
      <c r="C573" s="7" t="s">
        <v>808</v>
      </c>
      <c r="D573" s="7" t="s">
        <v>80</v>
      </c>
      <c r="E573" s="8" t="s">
        <v>2216</v>
      </c>
      <c r="F573" s="8" t="s">
        <v>2217</v>
      </c>
      <c r="G573" s="7" t="s">
        <v>83</v>
      </c>
      <c r="H573" s="8"/>
      <c r="I573" s="9" t="s">
        <v>30</v>
      </c>
      <c r="J573" s="10"/>
      <c r="K573" s="9"/>
      <c r="L573" s="11"/>
    </row>
    <row r="574" customFormat="false" ht="23.85" hidden="false" customHeight="false" outlineLevel="0" collapsed="false">
      <c r="A574" s="7" t="s">
        <v>2218</v>
      </c>
      <c r="B574" s="8" t="s">
        <v>2219</v>
      </c>
      <c r="C574" s="7" t="s">
        <v>808</v>
      </c>
      <c r="D574" s="7" t="s">
        <v>80</v>
      </c>
      <c r="E574" s="8" t="s">
        <v>2220</v>
      </c>
      <c r="F574" s="8" t="s">
        <v>2221</v>
      </c>
      <c r="G574" s="7" t="s">
        <v>83</v>
      </c>
      <c r="H574" s="8"/>
      <c r="I574" s="9" t="s">
        <v>30</v>
      </c>
      <c r="J574" s="10"/>
      <c r="K574" s="9"/>
      <c r="L574" s="11"/>
    </row>
    <row r="575" customFormat="false" ht="15" hidden="false" customHeight="false" outlineLevel="0" collapsed="false">
      <c r="A575" s="7" t="s">
        <v>2222</v>
      </c>
      <c r="B575" s="8" t="s">
        <v>2223</v>
      </c>
      <c r="C575" s="7" t="s">
        <v>2224</v>
      </c>
      <c r="D575" s="7" t="s">
        <v>27</v>
      </c>
      <c r="E575" s="8" t="s">
        <v>2225</v>
      </c>
      <c r="F575" s="8"/>
      <c r="G575" s="7" t="s">
        <v>29</v>
      </c>
      <c r="H575" s="8"/>
      <c r="I575" s="9" t="s">
        <v>30</v>
      </c>
      <c r="J575" s="10"/>
      <c r="K575" s="9"/>
      <c r="L575" s="11"/>
    </row>
    <row r="576" customFormat="false" ht="23.85" hidden="false" customHeight="false" outlineLevel="0" collapsed="false">
      <c r="A576" s="7" t="s">
        <v>2226</v>
      </c>
      <c r="B576" s="8" t="s">
        <v>2227</v>
      </c>
      <c r="C576" s="7" t="s">
        <v>2224</v>
      </c>
      <c r="D576" s="7" t="s">
        <v>33</v>
      </c>
      <c r="E576" s="8" t="s">
        <v>2228</v>
      </c>
      <c r="F576" s="8" t="s">
        <v>1371</v>
      </c>
      <c r="G576" s="7" t="s">
        <v>29</v>
      </c>
      <c r="H576" s="8"/>
      <c r="I576" s="9" t="s">
        <v>30</v>
      </c>
      <c r="J576" s="10"/>
      <c r="K576" s="9"/>
      <c r="L576" s="11"/>
    </row>
    <row r="577" customFormat="false" ht="23.85" hidden="false" customHeight="false" outlineLevel="0" collapsed="false">
      <c r="A577" s="7" t="s">
        <v>2229</v>
      </c>
      <c r="B577" s="8" t="s">
        <v>2230</v>
      </c>
      <c r="C577" s="7" t="s">
        <v>2224</v>
      </c>
      <c r="D577" s="7" t="s">
        <v>33</v>
      </c>
      <c r="E577" s="8" t="s">
        <v>2231</v>
      </c>
      <c r="F577" s="8" t="s">
        <v>2232</v>
      </c>
      <c r="G577" s="7" t="s">
        <v>29</v>
      </c>
      <c r="H577" s="8"/>
      <c r="I577" s="9" t="s">
        <v>30</v>
      </c>
      <c r="J577" s="10"/>
      <c r="K577" s="9"/>
      <c r="L577" s="11"/>
    </row>
    <row r="578" customFormat="false" ht="15" hidden="false" customHeight="false" outlineLevel="0" collapsed="false">
      <c r="A578" s="7" t="s">
        <v>2233</v>
      </c>
      <c r="B578" s="8" t="s">
        <v>2234</v>
      </c>
      <c r="C578" s="7" t="s">
        <v>2224</v>
      </c>
      <c r="D578" s="7" t="s">
        <v>33</v>
      </c>
      <c r="E578" s="8" t="s">
        <v>2235</v>
      </c>
      <c r="F578" s="8"/>
      <c r="G578" s="7" t="s">
        <v>29</v>
      </c>
      <c r="H578" s="8"/>
      <c r="I578" s="9" t="s">
        <v>30</v>
      </c>
      <c r="J578" s="10"/>
      <c r="K578" s="9"/>
      <c r="L578" s="11"/>
    </row>
    <row r="579" customFormat="false" ht="23.85" hidden="false" customHeight="false" outlineLevel="0" collapsed="false">
      <c r="A579" s="7" t="s">
        <v>2236</v>
      </c>
      <c r="B579" s="8" t="s">
        <v>2237</v>
      </c>
      <c r="C579" s="7" t="s">
        <v>2224</v>
      </c>
      <c r="D579" s="7" t="s">
        <v>33</v>
      </c>
      <c r="E579" s="8" t="s">
        <v>2238</v>
      </c>
      <c r="F579" s="8" t="s">
        <v>2239</v>
      </c>
      <c r="G579" s="7" t="s">
        <v>29</v>
      </c>
      <c r="H579" s="8" t="s">
        <v>2168</v>
      </c>
      <c r="I579" s="9" t="s">
        <v>30</v>
      </c>
      <c r="J579" s="10"/>
      <c r="K579" s="9"/>
      <c r="L579" s="11"/>
    </row>
    <row r="580" customFormat="false" ht="23.85" hidden="false" customHeight="false" outlineLevel="0" collapsed="false">
      <c r="A580" s="7" t="s">
        <v>2240</v>
      </c>
      <c r="B580" s="8" t="s">
        <v>2241</v>
      </c>
      <c r="C580" s="7" t="s">
        <v>2224</v>
      </c>
      <c r="D580" s="7" t="s">
        <v>50</v>
      </c>
      <c r="E580" s="8" t="s">
        <v>2242</v>
      </c>
      <c r="F580" s="8"/>
      <c r="G580" s="7" t="s">
        <v>29</v>
      </c>
      <c r="H580" s="8"/>
      <c r="I580" s="9" t="s">
        <v>30</v>
      </c>
      <c r="J580" s="10"/>
      <c r="K580" s="9"/>
      <c r="L580" s="11"/>
    </row>
    <row r="581" customFormat="false" ht="23.85" hidden="false" customHeight="false" outlineLevel="0" collapsed="false">
      <c r="A581" s="7" t="s">
        <v>2243</v>
      </c>
      <c r="B581" s="8" t="s">
        <v>2244</v>
      </c>
      <c r="C581" s="7" t="s">
        <v>2224</v>
      </c>
      <c r="D581" s="7" t="s">
        <v>80</v>
      </c>
      <c r="E581" s="8" t="s">
        <v>2245</v>
      </c>
      <c r="F581" s="8" t="s">
        <v>2246</v>
      </c>
      <c r="G581" s="7" t="s">
        <v>83</v>
      </c>
      <c r="H581" s="8"/>
      <c r="I581" s="9" t="s">
        <v>30</v>
      </c>
      <c r="J581" s="10"/>
      <c r="K581" s="9"/>
      <c r="L581" s="11"/>
    </row>
    <row r="582" customFormat="false" ht="46.25" hidden="false" customHeight="false" outlineLevel="0" collapsed="false">
      <c r="A582" s="7" t="s">
        <v>2247</v>
      </c>
      <c r="B582" s="8" t="s">
        <v>2248</v>
      </c>
      <c r="C582" s="7" t="s">
        <v>2224</v>
      </c>
      <c r="D582" s="7" t="s">
        <v>80</v>
      </c>
      <c r="E582" s="8" t="s">
        <v>2249</v>
      </c>
      <c r="F582" s="8" t="s">
        <v>2250</v>
      </c>
      <c r="G582" s="7" t="s">
        <v>83</v>
      </c>
      <c r="H582" s="8" t="s">
        <v>2168</v>
      </c>
      <c r="I582" s="9" t="s">
        <v>30</v>
      </c>
      <c r="J582" s="10"/>
      <c r="K582" s="9"/>
      <c r="L582" s="11"/>
    </row>
    <row r="583" customFormat="false" ht="23.85" hidden="false" customHeight="false" outlineLevel="0" collapsed="false">
      <c r="A583" s="7" t="s">
        <v>2251</v>
      </c>
      <c r="B583" s="8" t="s">
        <v>2252</v>
      </c>
      <c r="C583" s="7" t="s">
        <v>2224</v>
      </c>
      <c r="D583" s="7" t="s">
        <v>80</v>
      </c>
      <c r="E583" s="8" t="s">
        <v>2253</v>
      </c>
      <c r="F583" s="8" t="s">
        <v>2254</v>
      </c>
      <c r="G583" s="7" t="s">
        <v>83</v>
      </c>
      <c r="H583" s="8"/>
      <c r="I583" s="9" t="s">
        <v>30</v>
      </c>
      <c r="J583" s="10"/>
      <c r="K583" s="9"/>
      <c r="L583" s="11"/>
    </row>
    <row r="584" customFormat="false" ht="23.85" hidden="false" customHeight="false" outlineLevel="0" collapsed="false">
      <c r="A584" s="7" t="s">
        <v>2255</v>
      </c>
      <c r="B584" s="8" t="s">
        <v>2256</v>
      </c>
      <c r="C584" s="7" t="s">
        <v>2257</v>
      </c>
      <c r="D584" s="7" t="s">
        <v>27</v>
      </c>
      <c r="E584" s="8" t="s">
        <v>2258</v>
      </c>
      <c r="F584" s="8"/>
      <c r="G584" s="7" t="s">
        <v>29</v>
      </c>
      <c r="H584" s="8"/>
      <c r="I584" s="9" t="s">
        <v>30</v>
      </c>
      <c r="J584" s="10"/>
      <c r="K584" s="9"/>
      <c r="L584" s="11"/>
    </row>
    <row r="585" customFormat="false" ht="23.85" hidden="false" customHeight="false" outlineLevel="0" collapsed="false">
      <c r="A585" s="7" t="s">
        <v>2259</v>
      </c>
      <c r="B585" s="8" t="s">
        <v>2260</v>
      </c>
      <c r="C585" s="7" t="s">
        <v>2257</v>
      </c>
      <c r="D585" s="7" t="s">
        <v>33</v>
      </c>
      <c r="E585" s="8" t="s">
        <v>2261</v>
      </c>
      <c r="F585" s="8" t="s">
        <v>1750</v>
      </c>
      <c r="G585" s="7" t="s">
        <v>29</v>
      </c>
      <c r="H585" s="8"/>
      <c r="I585" s="9" t="s">
        <v>30</v>
      </c>
      <c r="J585" s="10"/>
      <c r="K585" s="9"/>
      <c r="L585" s="11"/>
    </row>
    <row r="586" customFormat="false" ht="23.85" hidden="false" customHeight="false" outlineLevel="0" collapsed="false">
      <c r="A586" s="7" t="s">
        <v>2262</v>
      </c>
      <c r="B586" s="8" t="s">
        <v>2263</v>
      </c>
      <c r="C586" s="7" t="s">
        <v>2257</v>
      </c>
      <c r="D586" s="7" t="s">
        <v>33</v>
      </c>
      <c r="E586" s="8" t="s">
        <v>2264</v>
      </c>
      <c r="F586" s="8" t="s">
        <v>2265</v>
      </c>
      <c r="G586" s="7" t="s">
        <v>29</v>
      </c>
      <c r="H586" s="8"/>
      <c r="I586" s="9" t="s">
        <v>30</v>
      </c>
      <c r="J586" s="10"/>
      <c r="K586" s="9"/>
      <c r="L586" s="11"/>
    </row>
    <row r="587" customFormat="false" ht="23.85" hidden="false" customHeight="false" outlineLevel="0" collapsed="false">
      <c r="A587" s="7" t="s">
        <v>2266</v>
      </c>
      <c r="B587" s="8" t="s">
        <v>2267</v>
      </c>
      <c r="C587" s="7" t="s">
        <v>2257</v>
      </c>
      <c r="D587" s="7" t="s">
        <v>33</v>
      </c>
      <c r="E587" s="8" t="s">
        <v>2268</v>
      </c>
      <c r="F587" s="8" t="s">
        <v>2269</v>
      </c>
      <c r="G587" s="7" t="s">
        <v>29</v>
      </c>
      <c r="H587" s="8"/>
      <c r="I587" s="9" t="s">
        <v>30</v>
      </c>
      <c r="J587" s="10"/>
      <c r="K587" s="9"/>
      <c r="L587" s="11"/>
    </row>
    <row r="588" customFormat="false" ht="23.85" hidden="false" customHeight="false" outlineLevel="0" collapsed="false">
      <c r="A588" s="7" t="s">
        <v>2270</v>
      </c>
      <c r="B588" s="8" t="s">
        <v>2271</v>
      </c>
      <c r="C588" s="7" t="s">
        <v>2257</v>
      </c>
      <c r="D588" s="7" t="s">
        <v>50</v>
      </c>
      <c r="E588" s="8" t="s">
        <v>2272</v>
      </c>
      <c r="F588" s="8"/>
      <c r="G588" s="7" t="s">
        <v>29</v>
      </c>
      <c r="H588" s="8"/>
      <c r="I588" s="9" t="s">
        <v>30</v>
      </c>
      <c r="J588" s="10"/>
      <c r="K588" s="9"/>
      <c r="L588" s="11"/>
    </row>
    <row r="589" customFormat="false" ht="23.85" hidden="false" customHeight="false" outlineLevel="0" collapsed="false">
      <c r="A589" s="7" t="s">
        <v>2273</v>
      </c>
      <c r="B589" s="8" t="s">
        <v>2274</v>
      </c>
      <c r="C589" s="7" t="s">
        <v>2257</v>
      </c>
      <c r="D589" s="7" t="s">
        <v>80</v>
      </c>
      <c r="E589" s="8" t="s">
        <v>2275</v>
      </c>
      <c r="F589" s="8" t="s">
        <v>1769</v>
      </c>
      <c r="G589" s="7" t="s">
        <v>83</v>
      </c>
      <c r="H589" s="8"/>
      <c r="I589" s="9" t="s">
        <v>30</v>
      </c>
      <c r="J589" s="10"/>
      <c r="K589" s="9"/>
      <c r="L589" s="11"/>
    </row>
    <row r="590" customFormat="false" ht="23.85" hidden="false" customHeight="false" outlineLevel="0" collapsed="false">
      <c r="A590" s="7" t="s">
        <v>2276</v>
      </c>
      <c r="B590" s="8" t="s">
        <v>2277</v>
      </c>
      <c r="C590" s="7" t="s">
        <v>2257</v>
      </c>
      <c r="D590" s="7" t="s">
        <v>80</v>
      </c>
      <c r="E590" s="8" t="s">
        <v>2278</v>
      </c>
      <c r="F590" s="8" t="s">
        <v>2279</v>
      </c>
      <c r="G590" s="7" t="s">
        <v>83</v>
      </c>
      <c r="H590" s="8"/>
      <c r="I590" s="9" t="s">
        <v>30</v>
      </c>
      <c r="J590" s="10"/>
      <c r="K590" s="9"/>
      <c r="L590" s="11"/>
    </row>
    <row r="591" customFormat="false" ht="23.85" hidden="false" customHeight="false" outlineLevel="0" collapsed="false">
      <c r="A591" s="7" t="s">
        <v>2280</v>
      </c>
      <c r="B591" s="8" t="s">
        <v>2281</v>
      </c>
      <c r="C591" s="7" t="s">
        <v>2257</v>
      </c>
      <c r="D591" s="7" t="s">
        <v>80</v>
      </c>
      <c r="E591" s="8" t="s">
        <v>2282</v>
      </c>
      <c r="F591" s="8" t="s">
        <v>2283</v>
      </c>
      <c r="G591" s="7" t="s">
        <v>83</v>
      </c>
      <c r="H591" s="8"/>
      <c r="I591" s="9" t="s">
        <v>30</v>
      </c>
      <c r="J591" s="10"/>
      <c r="K591" s="9"/>
      <c r="L591" s="11"/>
    </row>
    <row r="592" customFormat="false" ht="15" hidden="false" customHeight="false" outlineLevel="0" collapsed="false">
      <c r="A592" s="7" t="s">
        <v>2284</v>
      </c>
      <c r="B592" s="8" t="s">
        <v>2285</v>
      </c>
      <c r="C592" s="7" t="s">
        <v>2286</v>
      </c>
      <c r="D592" s="7" t="s">
        <v>27</v>
      </c>
      <c r="E592" s="8" t="s">
        <v>2287</v>
      </c>
      <c r="F592" s="8"/>
      <c r="G592" s="7" t="s">
        <v>29</v>
      </c>
      <c r="H592" s="8"/>
      <c r="I592" s="9" t="s">
        <v>30</v>
      </c>
      <c r="J592" s="10"/>
      <c r="K592" s="9"/>
      <c r="L592" s="11"/>
    </row>
    <row r="593" customFormat="false" ht="15" hidden="false" customHeight="false" outlineLevel="0" collapsed="false">
      <c r="A593" s="7" t="s">
        <v>2288</v>
      </c>
      <c r="B593" s="8" t="s">
        <v>2289</v>
      </c>
      <c r="C593" s="7" t="s">
        <v>2286</v>
      </c>
      <c r="D593" s="7" t="s">
        <v>33</v>
      </c>
      <c r="E593" s="8" t="s">
        <v>2290</v>
      </c>
      <c r="F593" s="8" t="s">
        <v>2291</v>
      </c>
      <c r="G593" s="7" t="s">
        <v>29</v>
      </c>
      <c r="H593" s="8"/>
      <c r="I593" s="9" t="s">
        <v>30</v>
      </c>
      <c r="J593" s="10"/>
      <c r="K593" s="9"/>
      <c r="L593" s="11"/>
    </row>
    <row r="594" customFormat="false" ht="23.85" hidden="false" customHeight="false" outlineLevel="0" collapsed="false">
      <c r="A594" s="7" t="s">
        <v>2292</v>
      </c>
      <c r="B594" s="8" t="s">
        <v>2293</v>
      </c>
      <c r="C594" s="7" t="s">
        <v>2286</v>
      </c>
      <c r="D594" s="7" t="s">
        <v>33</v>
      </c>
      <c r="E594" s="8" t="s">
        <v>2294</v>
      </c>
      <c r="F594" s="8" t="s">
        <v>2295</v>
      </c>
      <c r="G594" s="7" t="s">
        <v>29</v>
      </c>
      <c r="H594" s="8"/>
      <c r="I594" s="9" t="s">
        <v>30</v>
      </c>
      <c r="J594" s="10"/>
      <c r="K594" s="9"/>
      <c r="L594" s="11"/>
    </row>
    <row r="595" customFormat="false" ht="23.85" hidden="false" customHeight="false" outlineLevel="0" collapsed="false">
      <c r="A595" s="7" t="s">
        <v>2296</v>
      </c>
      <c r="B595" s="8" t="s">
        <v>2297</v>
      </c>
      <c r="C595" s="7" t="s">
        <v>2286</v>
      </c>
      <c r="D595" s="7" t="s">
        <v>33</v>
      </c>
      <c r="E595" s="8" t="s">
        <v>2298</v>
      </c>
      <c r="F595" s="8" t="s">
        <v>2299</v>
      </c>
      <c r="G595" s="7" t="s">
        <v>29</v>
      </c>
      <c r="H595" s="8"/>
      <c r="I595" s="9" t="s">
        <v>30</v>
      </c>
      <c r="J595" s="10"/>
      <c r="K595" s="9"/>
      <c r="L595" s="11"/>
    </row>
    <row r="596" customFormat="false" ht="23.85" hidden="false" customHeight="false" outlineLevel="0" collapsed="false">
      <c r="A596" s="7" t="s">
        <v>2300</v>
      </c>
      <c r="B596" s="8" t="s">
        <v>2301</v>
      </c>
      <c r="C596" s="7" t="s">
        <v>2286</v>
      </c>
      <c r="D596" s="7" t="s">
        <v>33</v>
      </c>
      <c r="E596" s="8" t="s">
        <v>2302</v>
      </c>
      <c r="F596" s="8" t="s">
        <v>2303</v>
      </c>
      <c r="G596" s="7" t="s">
        <v>29</v>
      </c>
      <c r="H596" s="8"/>
      <c r="I596" s="9" t="s">
        <v>30</v>
      </c>
      <c r="J596" s="10"/>
      <c r="K596" s="9"/>
      <c r="L596" s="11"/>
    </row>
    <row r="597" customFormat="false" ht="23.85" hidden="false" customHeight="false" outlineLevel="0" collapsed="false">
      <c r="A597" s="7" t="s">
        <v>2304</v>
      </c>
      <c r="B597" s="8" t="s">
        <v>2305</v>
      </c>
      <c r="C597" s="7" t="s">
        <v>2286</v>
      </c>
      <c r="D597" s="7" t="s">
        <v>50</v>
      </c>
      <c r="E597" s="8" t="s">
        <v>2306</v>
      </c>
      <c r="F597" s="8"/>
      <c r="G597" s="7" t="s">
        <v>29</v>
      </c>
      <c r="H597" s="8"/>
      <c r="I597" s="9" t="s">
        <v>30</v>
      </c>
      <c r="J597" s="10"/>
      <c r="K597" s="9"/>
      <c r="L597" s="11"/>
    </row>
    <row r="598" customFormat="false" ht="35.05" hidden="false" customHeight="false" outlineLevel="0" collapsed="false">
      <c r="A598" s="7" t="s">
        <v>2307</v>
      </c>
      <c r="B598" s="8" t="s">
        <v>2308</v>
      </c>
      <c r="C598" s="7" t="s">
        <v>2286</v>
      </c>
      <c r="D598" s="7" t="s">
        <v>80</v>
      </c>
      <c r="E598" s="8" t="s">
        <v>2309</v>
      </c>
      <c r="F598" s="8" t="s">
        <v>2310</v>
      </c>
      <c r="G598" s="7" t="s">
        <v>83</v>
      </c>
      <c r="H598" s="8"/>
      <c r="I598" s="9" t="s">
        <v>30</v>
      </c>
      <c r="J598" s="10"/>
      <c r="K598" s="9"/>
      <c r="L598" s="11"/>
    </row>
    <row r="599" customFormat="false" ht="23.85" hidden="false" customHeight="false" outlineLevel="0" collapsed="false">
      <c r="A599" s="7" t="s">
        <v>2311</v>
      </c>
      <c r="B599" s="8" t="s">
        <v>2312</v>
      </c>
      <c r="C599" s="7" t="s">
        <v>2286</v>
      </c>
      <c r="D599" s="7" t="s">
        <v>80</v>
      </c>
      <c r="E599" s="8" t="s">
        <v>2313</v>
      </c>
      <c r="F599" s="8" t="s">
        <v>2314</v>
      </c>
      <c r="G599" s="7" t="s">
        <v>83</v>
      </c>
      <c r="H599" s="8"/>
      <c r="I599" s="9" t="s">
        <v>30</v>
      </c>
      <c r="J599" s="10"/>
      <c r="K599" s="9"/>
      <c r="L599" s="11"/>
    </row>
    <row r="600" customFormat="false" ht="23.85" hidden="false" customHeight="false" outlineLevel="0" collapsed="false">
      <c r="A600" s="7" t="s">
        <v>2315</v>
      </c>
      <c r="B600" s="8" t="s">
        <v>2316</v>
      </c>
      <c r="C600" s="7" t="s">
        <v>2286</v>
      </c>
      <c r="D600" s="7" t="s">
        <v>80</v>
      </c>
      <c r="E600" s="8" t="s">
        <v>2317</v>
      </c>
      <c r="F600" s="8" t="s">
        <v>2318</v>
      </c>
      <c r="G600" s="7" t="s">
        <v>83</v>
      </c>
      <c r="H600" s="8"/>
      <c r="I600" s="9" t="s">
        <v>30</v>
      </c>
      <c r="J600" s="10"/>
      <c r="K600" s="9"/>
      <c r="L600" s="11"/>
    </row>
    <row r="601" customFormat="false" ht="15" hidden="false" customHeight="false" outlineLevel="0" collapsed="false">
      <c r="A601" s="7" t="s">
        <v>2319</v>
      </c>
      <c r="B601" s="8" t="s">
        <v>2320</v>
      </c>
      <c r="C601" s="7" t="s">
        <v>2321</v>
      </c>
      <c r="D601" s="7" t="s">
        <v>27</v>
      </c>
      <c r="E601" s="8" t="s">
        <v>2322</v>
      </c>
      <c r="F601" s="8"/>
      <c r="G601" s="7" t="s">
        <v>29</v>
      </c>
      <c r="H601" s="8"/>
      <c r="I601" s="9" t="s">
        <v>30</v>
      </c>
      <c r="J601" s="10"/>
      <c r="K601" s="9"/>
      <c r="L601" s="11"/>
    </row>
    <row r="602" customFormat="false" ht="15" hidden="false" customHeight="false" outlineLevel="0" collapsed="false">
      <c r="A602" s="7" t="s">
        <v>2323</v>
      </c>
      <c r="B602" s="8" t="s">
        <v>2324</v>
      </c>
      <c r="C602" s="7" t="s">
        <v>2321</v>
      </c>
      <c r="D602" s="7" t="s">
        <v>33</v>
      </c>
      <c r="E602" s="8" t="s">
        <v>2325</v>
      </c>
      <c r="F602" s="8" t="s">
        <v>1921</v>
      </c>
      <c r="G602" s="7" t="s">
        <v>29</v>
      </c>
      <c r="H602" s="8"/>
      <c r="I602" s="9" t="s">
        <v>30</v>
      </c>
      <c r="J602" s="10"/>
      <c r="K602" s="9"/>
      <c r="L602" s="11"/>
    </row>
    <row r="603" customFormat="false" ht="23.85" hidden="false" customHeight="false" outlineLevel="0" collapsed="false">
      <c r="A603" s="7" t="s">
        <v>2326</v>
      </c>
      <c r="B603" s="8" t="s">
        <v>2327</v>
      </c>
      <c r="C603" s="7" t="s">
        <v>2321</v>
      </c>
      <c r="D603" s="7" t="s">
        <v>33</v>
      </c>
      <c r="E603" s="8" t="s">
        <v>2328</v>
      </c>
      <c r="F603" s="8" t="s">
        <v>1004</v>
      </c>
      <c r="G603" s="7" t="s">
        <v>29</v>
      </c>
      <c r="H603" s="8"/>
      <c r="I603" s="9" t="s">
        <v>30</v>
      </c>
      <c r="J603" s="10"/>
      <c r="K603" s="9"/>
      <c r="L603" s="11"/>
    </row>
    <row r="604" customFormat="false" ht="23.85" hidden="false" customHeight="false" outlineLevel="0" collapsed="false">
      <c r="A604" s="7" t="s">
        <v>2329</v>
      </c>
      <c r="B604" s="8" t="s">
        <v>2330</v>
      </c>
      <c r="C604" s="7" t="s">
        <v>2321</v>
      </c>
      <c r="D604" s="7" t="s">
        <v>33</v>
      </c>
      <c r="E604" s="8" t="s">
        <v>2331</v>
      </c>
      <c r="F604" s="8" t="s">
        <v>2332</v>
      </c>
      <c r="G604" s="7" t="s">
        <v>29</v>
      </c>
      <c r="H604" s="8"/>
      <c r="I604" s="9" t="s">
        <v>30</v>
      </c>
      <c r="J604" s="10"/>
      <c r="K604" s="9"/>
      <c r="L604" s="11"/>
    </row>
    <row r="605" customFormat="false" ht="23.85" hidden="false" customHeight="false" outlineLevel="0" collapsed="false">
      <c r="A605" s="7" t="s">
        <v>2333</v>
      </c>
      <c r="B605" s="8" t="s">
        <v>2334</v>
      </c>
      <c r="C605" s="7" t="s">
        <v>2321</v>
      </c>
      <c r="D605" s="7" t="s">
        <v>33</v>
      </c>
      <c r="E605" s="8" t="s">
        <v>2335</v>
      </c>
      <c r="F605" s="8" t="s">
        <v>2336</v>
      </c>
      <c r="G605" s="7" t="s">
        <v>29</v>
      </c>
      <c r="H605" s="8"/>
      <c r="I605" s="9" t="s">
        <v>30</v>
      </c>
      <c r="J605" s="10"/>
      <c r="K605" s="9"/>
      <c r="L605" s="11"/>
    </row>
    <row r="606" customFormat="false" ht="23.85" hidden="false" customHeight="false" outlineLevel="0" collapsed="false">
      <c r="A606" s="7" t="s">
        <v>2337</v>
      </c>
      <c r="B606" s="8" t="s">
        <v>2338</v>
      </c>
      <c r="C606" s="7" t="s">
        <v>2321</v>
      </c>
      <c r="D606" s="7" t="s">
        <v>50</v>
      </c>
      <c r="E606" s="8" t="s">
        <v>2339</v>
      </c>
      <c r="F606" s="8"/>
      <c r="G606" s="7" t="s">
        <v>29</v>
      </c>
      <c r="H606" s="8"/>
      <c r="I606" s="9" t="s">
        <v>30</v>
      </c>
      <c r="J606" s="10"/>
      <c r="K606" s="9"/>
      <c r="L606" s="11"/>
    </row>
    <row r="607" customFormat="false" ht="23.85" hidden="false" customHeight="false" outlineLevel="0" collapsed="false">
      <c r="A607" s="7" t="s">
        <v>2340</v>
      </c>
      <c r="B607" s="8" t="s">
        <v>2341</v>
      </c>
      <c r="C607" s="7" t="s">
        <v>2321</v>
      </c>
      <c r="D607" s="7" t="s">
        <v>80</v>
      </c>
      <c r="E607" s="8" t="s">
        <v>2342</v>
      </c>
      <c r="F607" s="8" t="s">
        <v>2343</v>
      </c>
      <c r="G607" s="7" t="s">
        <v>83</v>
      </c>
      <c r="H607" s="8"/>
      <c r="I607" s="9" t="s">
        <v>30</v>
      </c>
      <c r="J607" s="10"/>
      <c r="K607" s="9"/>
      <c r="L607" s="11"/>
    </row>
    <row r="608" customFormat="false" ht="15" hidden="false" customHeight="false" outlineLevel="0" collapsed="false">
      <c r="A608" s="7" t="s">
        <v>2344</v>
      </c>
      <c r="B608" s="8" t="s">
        <v>2345</v>
      </c>
      <c r="C608" s="7" t="s">
        <v>2321</v>
      </c>
      <c r="D608" s="7" t="s">
        <v>80</v>
      </c>
      <c r="E608" s="8" t="s">
        <v>2346</v>
      </c>
      <c r="F608" s="8" t="s">
        <v>2347</v>
      </c>
      <c r="G608" s="7" t="s">
        <v>83</v>
      </c>
      <c r="H608" s="8"/>
      <c r="I608" s="9" t="s">
        <v>30</v>
      </c>
      <c r="J608" s="10"/>
      <c r="K608" s="9"/>
      <c r="L608" s="11"/>
    </row>
    <row r="609" customFormat="false" ht="23.85" hidden="false" customHeight="false" outlineLevel="0" collapsed="false">
      <c r="A609" s="7" t="s">
        <v>2348</v>
      </c>
      <c r="B609" s="8" t="s">
        <v>2349</v>
      </c>
      <c r="C609" s="7" t="s">
        <v>2321</v>
      </c>
      <c r="D609" s="7" t="s">
        <v>80</v>
      </c>
      <c r="E609" s="8" t="s">
        <v>2350</v>
      </c>
      <c r="F609" s="8" t="s">
        <v>2351</v>
      </c>
      <c r="G609" s="7" t="s">
        <v>83</v>
      </c>
      <c r="H609" s="8"/>
      <c r="I609" s="9" t="s">
        <v>30</v>
      </c>
      <c r="J609" s="10"/>
      <c r="K609" s="9"/>
      <c r="L609" s="11"/>
    </row>
    <row r="610" customFormat="false" ht="15" hidden="false" customHeight="false" outlineLevel="0" collapsed="false">
      <c r="A610" s="7" t="s">
        <v>2352</v>
      </c>
      <c r="B610" s="8" t="s">
        <v>2353</v>
      </c>
      <c r="C610" s="7" t="s">
        <v>2354</v>
      </c>
      <c r="D610" s="7" t="s">
        <v>27</v>
      </c>
      <c r="E610" s="8" t="s">
        <v>2355</v>
      </c>
      <c r="F610" s="8"/>
      <c r="G610" s="7" t="s">
        <v>29</v>
      </c>
      <c r="H610" s="8"/>
      <c r="I610" s="9" t="s">
        <v>30</v>
      </c>
      <c r="J610" s="10"/>
      <c r="K610" s="9"/>
      <c r="L610" s="11"/>
    </row>
    <row r="611" customFormat="false" ht="23.85" hidden="false" customHeight="false" outlineLevel="0" collapsed="false">
      <c r="A611" s="7" t="s">
        <v>2356</v>
      </c>
      <c r="B611" s="8" t="s">
        <v>2357</v>
      </c>
      <c r="C611" s="7" t="s">
        <v>2354</v>
      </c>
      <c r="D611" s="7" t="s">
        <v>33</v>
      </c>
      <c r="E611" s="8" t="s">
        <v>2358</v>
      </c>
      <c r="F611" s="8" t="s">
        <v>2359</v>
      </c>
      <c r="G611" s="7" t="s">
        <v>29</v>
      </c>
      <c r="H611" s="8"/>
      <c r="I611" s="9" t="s">
        <v>30</v>
      </c>
      <c r="J611" s="10"/>
      <c r="K611" s="9"/>
      <c r="L611" s="11"/>
    </row>
    <row r="612" customFormat="false" ht="23.85" hidden="false" customHeight="false" outlineLevel="0" collapsed="false">
      <c r="A612" s="7" t="s">
        <v>2360</v>
      </c>
      <c r="B612" s="8" t="s">
        <v>2361</v>
      </c>
      <c r="C612" s="7" t="s">
        <v>2354</v>
      </c>
      <c r="D612" s="7" t="s">
        <v>33</v>
      </c>
      <c r="E612" s="8" t="s">
        <v>2362</v>
      </c>
      <c r="F612" s="8"/>
      <c r="G612" s="7" t="s">
        <v>29</v>
      </c>
      <c r="H612" s="8"/>
      <c r="I612" s="9" t="s">
        <v>30</v>
      </c>
      <c r="J612" s="10"/>
      <c r="K612" s="9"/>
      <c r="L612" s="11"/>
    </row>
    <row r="613" customFormat="false" ht="23.85" hidden="false" customHeight="false" outlineLevel="0" collapsed="false">
      <c r="A613" s="7" t="s">
        <v>2363</v>
      </c>
      <c r="B613" s="8" t="s">
        <v>2364</v>
      </c>
      <c r="C613" s="7" t="s">
        <v>2354</v>
      </c>
      <c r="D613" s="7" t="s">
        <v>33</v>
      </c>
      <c r="E613" s="8" t="s">
        <v>2365</v>
      </c>
      <c r="F613" s="8" t="s">
        <v>2366</v>
      </c>
      <c r="G613" s="7" t="s">
        <v>29</v>
      </c>
      <c r="H613" s="8"/>
      <c r="I613" s="9" t="s">
        <v>30</v>
      </c>
      <c r="J613" s="10"/>
      <c r="K613" s="9"/>
      <c r="L613" s="11"/>
    </row>
    <row r="614" customFormat="false" ht="15" hidden="false" customHeight="false" outlineLevel="0" collapsed="false">
      <c r="A614" s="7" t="s">
        <v>2367</v>
      </c>
      <c r="B614" s="8" t="s">
        <v>2368</v>
      </c>
      <c r="C614" s="7" t="s">
        <v>2354</v>
      </c>
      <c r="D614" s="7" t="s">
        <v>33</v>
      </c>
      <c r="E614" s="8" t="s">
        <v>2369</v>
      </c>
      <c r="F614" s="8" t="s">
        <v>2370</v>
      </c>
      <c r="G614" s="7" t="s">
        <v>29</v>
      </c>
      <c r="H614" s="8"/>
      <c r="I614" s="9" t="s">
        <v>30</v>
      </c>
      <c r="J614" s="10"/>
      <c r="K614" s="9"/>
      <c r="L614" s="11"/>
    </row>
    <row r="615" customFormat="false" ht="23.85" hidden="false" customHeight="false" outlineLevel="0" collapsed="false">
      <c r="A615" s="7" t="s">
        <v>2371</v>
      </c>
      <c r="B615" s="8" t="s">
        <v>2372</v>
      </c>
      <c r="C615" s="7" t="s">
        <v>2354</v>
      </c>
      <c r="D615" s="7" t="s">
        <v>50</v>
      </c>
      <c r="E615" s="8" t="s">
        <v>2373</v>
      </c>
      <c r="F615" s="8"/>
      <c r="G615" s="7" t="s">
        <v>29</v>
      </c>
      <c r="H615" s="8"/>
      <c r="I615" s="9" t="s">
        <v>30</v>
      </c>
      <c r="J615" s="10"/>
      <c r="K615" s="9"/>
      <c r="L615" s="11"/>
    </row>
    <row r="616" customFormat="false" ht="23.85" hidden="false" customHeight="false" outlineLevel="0" collapsed="false">
      <c r="A616" s="7" t="s">
        <v>2374</v>
      </c>
      <c r="B616" s="8" t="s">
        <v>2375</v>
      </c>
      <c r="C616" s="7" t="s">
        <v>2354</v>
      </c>
      <c r="D616" s="7" t="s">
        <v>80</v>
      </c>
      <c r="E616" s="8" t="s">
        <v>2376</v>
      </c>
      <c r="F616" s="8" t="s">
        <v>2377</v>
      </c>
      <c r="G616" s="7" t="s">
        <v>83</v>
      </c>
      <c r="H616" s="8"/>
      <c r="I616" s="9" t="s">
        <v>30</v>
      </c>
      <c r="J616" s="10"/>
      <c r="K616" s="9"/>
      <c r="L616" s="11"/>
    </row>
    <row r="617" customFormat="false" ht="23.85" hidden="false" customHeight="false" outlineLevel="0" collapsed="false">
      <c r="A617" s="7" t="s">
        <v>2378</v>
      </c>
      <c r="B617" s="8" t="s">
        <v>2379</v>
      </c>
      <c r="C617" s="7" t="s">
        <v>2354</v>
      </c>
      <c r="D617" s="7" t="s">
        <v>80</v>
      </c>
      <c r="E617" s="8" t="s">
        <v>2380</v>
      </c>
      <c r="F617" s="8" t="s">
        <v>2381</v>
      </c>
      <c r="G617" s="7" t="s">
        <v>83</v>
      </c>
      <c r="H617" s="8"/>
      <c r="I617" s="9" t="s">
        <v>30</v>
      </c>
      <c r="J617" s="10"/>
      <c r="K617" s="9"/>
      <c r="L617" s="11"/>
    </row>
    <row r="618" customFormat="false" ht="23.85" hidden="false" customHeight="false" outlineLevel="0" collapsed="false">
      <c r="A618" s="7" t="s">
        <v>2382</v>
      </c>
      <c r="B618" s="8" t="s">
        <v>2383</v>
      </c>
      <c r="C618" s="7" t="s">
        <v>2354</v>
      </c>
      <c r="D618" s="7" t="s">
        <v>80</v>
      </c>
      <c r="E618" s="8" t="s">
        <v>2384</v>
      </c>
      <c r="F618" s="8" t="s">
        <v>2385</v>
      </c>
      <c r="G618" s="7" t="s">
        <v>83</v>
      </c>
      <c r="H618" s="8"/>
      <c r="I618" s="9" t="s">
        <v>30</v>
      </c>
      <c r="J618" s="10"/>
      <c r="K618" s="9"/>
      <c r="L618" s="11"/>
    </row>
    <row r="619" customFormat="false" ht="15" hidden="false" customHeight="false" outlineLevel="0" collapsed="false">
      <c r="A619" s="7" t="s">
        <v>2386</v>
      </c>
      <c r="B619" s="8" t="s">
        <v>2387</v>
      </c>
      <c r="C619" s="7" t="s">
        <v>2388</v>
      </c>
      <c r="D619" s="7" t="s">
        <v>27</v>
      </c>
      <c r="E619" s="8" t="s">
        <v>2389</v>
      </c>
      <c r="F619" s="8"/>
      <c r="G619" s="7" t="s">
        <v>29</v>
      </c>
      <c r="H619" s="8"/>
      <c r="I619" s="9" t="s">
        <v>30</v>
      </c>
      <c r="J619" s="10"/>
      <c r="K619" s="9"/>
      <c r="L619" s="11"/>
    </row>
    <row r="620" customFormat="false" ht="23.85" hidden="false" customHeight="false" outlineLevel="0" collapsed="false">
      <c r="A620" s="7" t="s">
        <v>2390</v>
      </c>
      <c r="B620" s="8" t="s">
        <v>2391</v>
      </c>
      <c r="C620" s="7" t="s">
        <v>2388</v>
      </c>
      <c r="D620" s="7" t="s">
        <v>33</v>
      </c>
      <c r="E620" s="8" t="s">
        <v>2392</v>
      </c>
      <c r="F620" s="8" t="s">
        <v>2393</v>
      </c>
      <c r="G620" s="7" t="s">
        <v>29</v>
      </c>
      <c r="H620" s="8"/>
      <c r="I620" s="9" t="s">
        <v>30</v>
      </c>
      <c r="J620" s="10"/>
      <c r="K620" s="9"/>
      <c r="L620" s="11"/>
    </row>
    <row r="621" customFormat="false" ht="23.85" hidden="false" customHeight="false" outlineLevel="0" collapsed="false">
      <c r="A621" s="7" t="s">
        <v>2394</v>
      </c>
      <c r="B621" s="8" t="s">
        <v>2395</v>
      </c>
      <c r="C621" s="7" t="s">
        <v>2388</v>
      </c>
      <c r="D621" s="7" t="s">
        <v>33</v>
      </c>
      <c r="E621" s="8" t="s">
        <v>2396</v>
      </c>
      <c r="F621" s="8" t="s">
        <v>2397</v>
      </c>
      <c r="G621" s="7" t="s">
        <v>29</v>
      </c>
      <c r="H621" s="8"/>
      <c r="I621" s="9" t="s">
        <v>30</v>
      </c>
      <c r="J621" s="10"/>
      <c r="K621" s="9"/>
      <c r="L621" s="11"/>
    </row>
    <row r="622" customFormat="false" ht="35.05" hidden="false" customHeight="false" outlineLevel="0" collapsed="false">
      <c r="A622" s="7" t="s">
        <v>2398</v>
      </c>
      <c r="B622" s="8" t="s">
        <v>2399</v>
      </c>
      <c r="C622" s="7" t="s">
        <v>2388</v>
      </c>
      <c r="D622" s="7" t="s">
        <v>33</v>
      </c>
      <c r="E622" s="8" t="s">
        <v>2400</v>
      </c>
      <c r="F622" s="8" t="s">
        <v>2401</v>
      </c>
      <c r="G622" s="7" t="s">
        <v>29</v>
      </c>
      <c r="H622" s="8" t="s">
        <v>2402</v>
      </c>
      <c r="I622" s="9" t="s">
        <v>30</v>
      </c>
      <c r="J622" s="10"/>
      <c r="K622" s="9"/>
      <c r="L622" s="11"/>
    </row>
    <row r="623" customFormat="false" ht="23.85" hidden="false" customHeight="false" outlineLevel="0" collapsed="false">
      <c r="A623" s="7" t="s">
        <v>2403</v>
      </c>
      <c r="B623" s="8" t="s">
        <v>2404</v>
      </c>
      <c r="C623" s="7" t="s">
        <v>2388</v>
      </c>
      <c r="D623" s="7" t="s">
        <v>33</v>
      </c>
      <c r="E623" s="8" t="s">
        <v>2405</v>
      </c>
      <c r="F623" s="8" t="s">
        <v>2406</v>
      </c>
      <c r="G623" s="7" t="s">
        <v>29</v>
      </c>
      <c r="H623" s="8" t="s">
        <v>2168</v>
      </c>
      <c r="I623" s="9" t="s">
        <v>30</v>
      </c>
      <c r="J623" s="10"/>
      <c r="K623" s="9"/>
      <c r="L623" s="11"/>
    </row>
    <row r="624" customFormat="false" ht="23.85" hidden="false" customHeight="false" outlineLevel="0" collapsed="false">
      <c r="A624" s="7" t="s">
        <v>2407</v>
      </c>
      <c r="B624" s="8" t="s">
        <v>2408</v>
      </c>
      <c r="C624" s="7" t="s">
        <v>2388</v>
      </c>
      <c r="D624" s="7" t="s">
        <v>50</v>
      </c>
      <c r="E624" s="8" t="s">
        <v>2409</v>
      </c>
      <c r="F624" s="8"/>
      <c r="G624" s="7" t="s">
        <v>29</v>
      </c>
      <c r="H624" s="8"/>
      <c r="I624" s="9" t="s">
        <v>30</v>
      </c>
      <c r="J624" s="10"/>
      <c r="K624" s="9"/>
      <c r="L624" s="11"/>
    </row>
    <row r="625" customFormat="false" ht="23.85" hidden="false" customHeight="false" outlineLevel="0" collapsed="false">
      <c r="A625" s="7" t="s">
        <v>2410</v>
      </c>
      <c r="B625" s="8" t="s">
        <v>2411</v>
      </c>
      <c r="C625" s="7" t="s">
        <v>2388</v>
      </c>
      <c r="D625" s="7" t="s">
        <v>80</v>
      </c>
      <c r="E625" s="8" t="s">
        <v>2412</v>
      </c>
      <c r="F625" s="8" t="s">
        <v>2413</v>
      </c>
      <c r="G625" s="7" t="s">
        <v>83</v>
      </c>
      <c r="H625" s="8"/>
      <c r="I625" s="9" t="s">
        <v>30</v>
      </c>
      <c r="J625" s="10"/>
      <c r="K625" s="9"/>
      <c r="L625" s="11"/>
    </row>
    <row r="626" customFormat="false" ht="23.85" hidden="false" customHeight="false" outlineLevel="0" collapsed="false">
      <c r="A626" s="7" t="s">
        <v>2414</v>
      </c>
      <c r="B626" s="8" t="s">
        <v>2415</v>
      </c>
      <c r="C626" s="7" t="s">
        <v>2388</v>
      </c>
      <c r="D626" s="7" t="s">
        <v>80</v>
      </c>
      <c r="E626" s="8" t="s">
        <v>2416</v>
      </c>
      <c r="F626" s="8" t="s">
        <v>2417</v>
      </c>
      <c r="G626" s="7" t="s">
        <v>83</v>
      </c>
      <c r="H626" s="8" t="s">
        <v>2402</v>
      </c>
      <c r="I626" s="9" t="s">
        <v>30</v>
      </c>
      <c r="J626" s="10"/>
      <c r="K626" s="9"/>
      <c r="L626" s="11"/>
    </row>
    <row r="627" customFormat="false" ht="23.85" hidden="false" customHeight="false" outlineLevel="0" collapsed="false">
      <c r="A627" s="7" t="s">
        <v>2418</v>
      </c>
      <c r="B627" s="8" t="s">
        <v>2419</v>
      </c>
      <c r="C627" s="7" t="s">
        <v>2388</v>
      </c>
      <c r="D627" s="7" t="s">
        <v>80</v>
      </c>
      <c r="E627" s="8" t="s">
        <v>2420</v>
      </c>
      <c r="F627" s="8" t="s">
        <v>2421</v>
      </c>
      <c r="G627" s="7" t="s">
        <v>83</v>
      </c>
      <c r="H627" s="8"/>
      <c r="I627" s="9" t="s">
        <v>30</v>
      </c>
      <c r="J627" s="10"/>
      <c r="K627" s="9"/>
      <c r="L627" s="11"/>
    </row>
    <row r="628" customFormat="false" ht="46.25" hidden="false" customHeight="false" outlineLevel="0" collapsed="false">
      <c r="A628" s="7" t="s">
        <v>2422</v>
      </c>
      <c r="B628" s="8" t="s">
        <v>2423</v>
      </c>
      <c r="C628" s="7" t="s">
        <v>26</v>
      </c>
      <c r="D628" s="7" t="s">
        <v>2424</v>
      </c>
      <c r="E628" s="8" t="s">
        <v>2425</v>
      </c>
      <c r="F628" s="8" t="s">
        <v>2426</v>
      </c>
      <c r="G628" s="7" t="s">
        <v>83</v>
      </c>
      <c r="H628" s="8"/>
      <c r="I628" s="9" t="s">
        <v>30</v>
      </c>
      <c r="J628" s="10"/>
      <c r="K628" s="9"/>
      <c r="L628" s="11"/>
    </row>
    <row r="629" customFormat="false" ht="46.25" hidden="false" customHeight="false" outlineLevel="0" collapsed="false">
      <c r="A629" s="7" t="s">
        <v>2427</v>
      </c>
      <c r="B629" s="8" t="s">
        <v>2428</v>
      </c>
      <c r="C629" s="7" t="s">
        <v>26</v>
      </c>
      <c r="D629" s="7" t="s">
        <v>2424</v>
      </c>
      <c r="E629" s="8" t="s">
        <v>2429</v>
      </c>
      <c r="F629" s="8" t="s">
        <v>47</v>
      </c>
      <c r="G629" s="7" t="s">
        <v>83</v>
      </c>
      <c r="H629" s="8"/>
      <c r="I629" s="9" t="s">
        <v>30</v>
      </c>
      <c r="J629" s="10"/>
      <c r="K629" s="9"/>
      <c r="L629" s="11"/>
    </row>
    <row r="630" customFormat="false" ht="46.25" hidden="false" customHeight="false" outlineLevel="0" collapsed="false">
      <c r="A630" s="7" t="s">
        <v>2430</v>
      </c>
      <c r="B630" s="8" t="s">
        <v>2431</v>
      </c>
      <c r="C630" s="7" t="s">
        <v>26</v>
      </c>
      <c r="D630" s="7" t="s">
        <v>2424</v>
      </c>
      <c r="E630" s="8" t="s">
        <v>2432</v>
      </c>
      <c r="F630" s="8" t="s">
        <v>2433</v>
      </c>
      <c r="G630" s="7" t="s">
        <v>83</v>
      </c>
      <c r="H630" s="8"/>
      <c r="I630" s="9" t="s">
        <v>30</v>
      </c>
      <c r="J630" s="10"/>
      <c r="K630" s="9"/>
      <c r="L630" s="11"/>
    </row>
    <row r="631" customFormat="false" ht="57.45" hidden="false" customHeight="false" outlineLevel="0" collapsed="false">
      <c r="A631" s="7" t="s">
        <v>2434</v>
      </c>
      <c r="B631" s="8" t="s">
        <v>2435</v>
      </c>
      <c r="C631" s="7" t="s">
        <v>54</v>
      </c>
      <c r="D631" s="7" t="s">
        <v>2424</v>
      </c>
      <c r="E631" s="8" t="s">
        <v>2436</v>
      </c>
      <c r="F631" s="8" t="s">
        <v>2437</v>
      </c>
      <c r="G631" s="7" t="s">
        <v>83</v>
      </c>
      <c r="H631" s="8"/>
      <c r="I631" s="9" t="s">
        <v>30</v>
      </c>
      <c r="J631" s="10"/>
      <c r="K631" s="9"/>
      <c r="L631" s="11"/>
    </row>
    <row r="632" customFormat="false" ht="46.25" hidden="false" customHeight="false" outlineLevel="0" collapsed="false">
      <c r="A632" s="7" t="s">
        <v>2438</v>
      </c>
      <c r="B632" s="8" t="s">
        <v>2439</v>
      </c>
      <c r="C632" s="7" t="s">
        <v>54</v>
      </c>
      <c r="D632" s="7" t="s">
        <v>2424</v>
      </c>
      <c r="E632" s="8" t="s">
        <v>2440</v>
      </c>
      <c r="F632" s="8" t="s">
        <v>66</v>
      </c>
      <c r="G632" s="7" t="s">
        <v>83</v>
      </c>
      <c r="H632" s="8"/>
      <c r="I632" s="9" t="s">
        <v>30</v>
      </c>
      <c r="J632" s="10"/>
      <c r="K632" s="9"/>
      <c r="L632" s="11"/>
    </row>
    <row r="633" customFormat="false" ht="35.05" hidden="false" customHeight="false" outlineLevel="0" collapsed="false">
      <c r="A633" s="7" t="s">
        <v>2441</v>
      </c>
      <c r="B633" s="8" t="s">
        <v>2442</v>
      </c>
      <c r="C633" s="7" t="s">
        <v>54</v>
      </c>
      <c r="D633" s="7" t="s">
        <v>2424</v>
      </c>
      <c r="E633" s="8" t="s">
        <v>2443</v>
      </c>
      <c r="F633" s="8" t="s">
        <v>2444</v>
      </c>
      <c r="G633" s="7" t="s">
        <v>83</v>
      </c>
      <c r="H633" s="8"/>
      <c r="I633" s="9" t="s">
        <v>30</v>
      </c>
      <c r="J633" s="10"/>
      <c r="K633" s="9"/>
      <c r="L633" s="11"/>
    </row>
    <row r="634" customFormat="false" ht="35.05" hidden="false" customHeight="false" outlineLevel="0" collapsed="false">
      <c r="A634" s="7" t="s">
        <v>2445</v>
      </c>
      <c r="B634" s="8" t="s">
        <v>2446</v>
      </c>
      <c r="C634" s="7" t="s">
        <v>98</v>
      </c>
      <c r="D634" s="7" t="s">
        <v>2424</v>
      </c>
      <c r="E634" s="8" t="s">
        <v>2447</v>
      </c>
      <c r="F634" s="8" t="s">
        <v>2448</v>
      </c>
      <c r="G634" s="7" t="s">
        <v>83</v>
      </c>
      <c r="H634" s="8"/>
      <c r="I634" s="9" t="s">
        <v>30</v>
      </c>
      <c r="J634" s="10"/>
      <c r="K634" s="9"/>
      <c r="L634" s="11"/>
    </row>
    <row r="635" customFormat="false" ht="57.45" hidden="false" customHeight="false" outlineLevel="0" collapsed="false">
      <c r="A635" s="7" t="s">
        <v>2449</v>
      </c>
      <c r="B635" s="8" t="s">
        <v>2450</v>
      </c>
      <c r="C635" s="7" t="s">
        <v>98</v>
      </c>
      <c r="D635" s="7" t="s">
        <v>2424</v>
      </c>
      <c r="E635" s="8" t="s">
        <v>2451</v>
      </c>
      <c r="F635" s="8" t="s">
        <v>2452</v>
      </c>
      <c r="G635" s="7" t="s">
        <v>83</v>
      </c>
      <c r="H635" s="8"/>
      <c r="I635" s="9" t="s">
        <v>30</v>
      </c>
      <c r="J635" s="10"/>
      <c r="K635" s="9"/>
      <c r="L635" s="11"/>
    </row>
    <row r="636" customFormat="false" ht="46.25" hidden="false" customHeight="false" outlineLevel="0" collapsed="false">
      <c r="A636" s="7" t="s">
        <v>2453</v>
      </c>
      <c r="B636" s="8" t="s">
        <v>2454</v>
      </c>
      <c r="C636" s="7" t="s">
        <v>98</v>
      </c>
      <c r="D636" s="7" t="s">
        <v>2424</v>
      </c>
      <c r="E636" s="8" t="s">
        <v>2455</v>
      </c>
      <c r="F636" s="8" t="s">
        <v>2456</v>
      </c>
      <c r="G636" s="7" t="s">
        <v>83</v>
      </c>
      <c r="H636" s="8"/>
      <c r="I636" s="9" t="s">
        <v>30</v>
      </c>
      <c r="J636" s="10"/>
      <c r="K636" s="9"/>
      <c r="L636" s="11"/>
    </row>
    <row r="637" customFormat="false" ht="35.05" hidden="false" customHeight="false" outlineLevel="0" collapsed="false">
      <c r="A637" s="7" t="s">
        <v>2457</v>
      </c>
      <c r="B637" s="8" t="s">
        <v>2458</v>
      </c>
      <c r="C637" s="7" t="s">
        <v>136</v>
      </c>
      <c r="D637" s="7" t="s">
        <v>2424</v>
      </c>
      <c r="E637" s="8" t="s">
        <v>2459</v>
      </c>
      <c r="F637" s="8" t="s">
        <v>2460</v>
      </c>
      <c r="G637" s="7" t="s">
        <v>83</v>
      </c>
      <c r="H637" s="8"/>
      <c r="I637" s="9" t="s">
        <v>30</v>
      </c>
      <c r="J637" s="10"/>
      <c r="K637" s="9"/>
      <c r="L637" s="11"/>
    </row>
    <row r="638" customFormat="false" ht="46.25" hidden="false" customHeight="false" outlineLevel="0" collapsed="false">
      <c r="A638" s="7" t="s">
        <v>2461</v>
      </c>
      <c r="B638" s="8" t="s">
        <v>2462</v>
      </c>
      <c r="C638" s="7" t="s">
        <v>136</v>
      </c>
      <c r="D638" s="7" t="s">
        <v>2424</v>
      </c>
      <c r="E638" s="8" t="s">
        <v>2463</v>
      </c>
      <c r="F638" s="8" t="s">
        <v>2464</v>
      </c>
      <c r="G638" s="7" t="s">
        <v>83</v>
      </c>
      <c r="H638" s="8"/>
      <c r="I638" s="9" t="s">
        <v>30</v>
      </c>
      <c r="J638" s="10"/>
      <c r="K638" s="9"/>
      <c r="L638" s="11"/>
    </row>
    <row r="639" customFormat="false" ht="46.25" hidden="false" customHeight="false" outlineLevel="0" collapsed="false">
      <c r="A639" s="7" t="s">
        <v>2465</v>
      </c>
      <c r="B639" s="8" t="s">
        <v>2466</v>
      </c>
      <c r="C639" s="7" t="s">
        <v>136</v>
      </c>
      <c r="D639" s="7" t="s">
        <v>2424</v>
      </c>
      <c r="E639" s="8" t="s">
        <v>2467</v>
      </c>
      <c r="F639" s="8" t="s">
        <v>2468</v>
      </c>
      <c r="G639" s="7" t="s">
        <v>83</v>
      </c>
      <c r="H639" s="8"/>
      <c r="I639" s="9" t="s">
        <v>30</v>
      </c>
      <c r="J639" s="10"/>
      <c r="K639" s="9"/>
      <c r="L639" s="11"/>
    </row>
    <row r="640" customFormat="false" ht="46.25" hidden="false" customHeight="false" outlineLevel="0" collapsed="false">
      <c r="A640" s="7" t="s">
        <v>2469</v>
      </c>
      <c r="B640" s="8" t="s">
        <v>2470</v>
      </c>
      <c r="C640" s="7" t="s">
        <v>136</v>
      </c>
      <c r="D640" s="7" t="s">
        <v>2424</v>
      </c>
      <c r="E640" s="8" t="s">
        <v>2471</v>
      </c>
      <c r="F640" s="8" t="s">
        <v>2472</v>
      </c>
      <c r="G640" s="7" t="s">
        <v>83</v>
      </c>
      <c r="H640" s="8"/>
      <c r="I640" s="9" t="s">
        <v>30</v>
      </c>
      <c r="J640" s="10"/>
      <c r="K640" s="9"/>
      <c r="L640" s="11"/>
    </row>
    <row r="641" customFormat="false" ht="46.25" hidden="false" customHeight="false" outlineLevel="0" collapsed="false">
      <c r="A641" s="7" t="s">
        <v>2473</v>
      </c>
      <c r="B641" s="8" t="s">
        <v>2474</v>
      </c>
      <c r="C641" s="7" t="s">
        <v>178</v>
      </c>
      <c r="D641" s="7" t="s">
        <v>2424</v>
      </c>
      <c r="E641" s="8" t="s">
        <v>2475</v>
      </c>
      <c r="F641" s="8" t="s">
        <v>2476</v>
      </c>
      <c r="G641" s="7" t="s">
        <v>83</v>
      </c>
      <c r="H641" s="8"/>
      <c r="I641" s="9" t="s">
        <v>30</v>
      </c>
      <c r="J641" s="10"/>
      <c r="K641" s="9"/>
      <c r="L641" s="11"/>
    </row>
    <row r="642" customFormat="false" ht="46.25" hidden="false" customHeight="false" outlineLevel="0" collapsed="false">
      <c r="A642" s="7" t="s">
        <v>2477</v>
      </c>
      <c r="B642" s="8" t="s">
        <v>2478</v>
      </c>
      <c r="C642" s="7" t="s">
        <v>178</v>
      </c>
      <c r="D642" s="7" t="s">
        <v>2424</v>
      </c>
      <c r="E642" s="8" t="s">
        <v>2479</v>
      </c>
      <c r="F642" s="8" t="s">
        <v>191</v>
      </c>
      <c r="G642" s="7" t="s">
        <v>83</v>
      </c>
      <c r="H642" s="8"/>
      <c r="I642" s="9" t="s">
        <v>30</v>
      </c>
      <c r="J642" s="10"/>
      <c r="K642" s="9"/>
      <c r="L642" s="11"/>
    </row>
    <row r="643" customFormat="false" ht="46.25" hidden="false" customHeight="false" outlineLevel="0" collapsed="false">
      <c r="A643" s="7" t="s">
        <v>2480</v>
      </c>
      <c r="B643" s="8" t="s">
        <v>2481</v>
      </c>
      <c r="C643" s="7" t="s">
        <v>178</v>
      </c>
      <c r="D643" s="7" t="s">
        <v>2424</v>
      </c>
      <c r="E643" s="8" t="s">
        <v>2482</v>
      </c>
      <c r="F643" s="8" t="s">
        <v>199</v>
      </c>
      <c r="G643" s="7" t="s">
        <v>83</v>
      </c>
      <c r="H643" s="8"/>
      <c r="I643" s="9" t="s">
        <v>30</v>
      </c>
      <c r="J643" s="10"/>
      <c r="K643" s="9"/>
      <c r="L643" s="11"/>
    </row>
    <row r="644" customFormat="false" ht="46.25" hidden="false" customHeight="false" outlineLevel="0" collapsed="false">
      <c r="A644" s="7" t="s">
        <v>2483</v>
      </c>
      <c r="B644" s="8" t="s">
        <v>2484</v>
      </c>
      <c r="C644" s="7" t="s">
        <v>178</v>
      </c>
      <c r="D644" s="7" t="s">
        <v>2424</v>
      </c>
      <c r="E644" s="8" t="s">
        <v>2485</v>
      </c>
      <c r="F644" s="8" t="s">
        <v>2486</v>
      </c>
      <c r="G644" s="7" t="s">
        <v>83</v>
      </c>
      <c r="H644" s="8"/>
      <c r="I644" s="9" t="s">
        <v>30</v>
      </c>
      <c r="J644" s="10"/>
      <c r="K644" s="9"/>
      <c r="L644" s="11"/>
    </row>
    <row r="645" customFormat="false" ht="35.05" hidden="false" customHeight="false" outlineLevel="0" collapsed="false">
      <c r="A645" s="7" t="s">
        <v>2487</v>
      </c>
      <c r="B645" s="8" t="s">
        <v>2488</v>
      </c>
      <c r="C645" s="7" t="s">
        <v>221</v>
      </c>
      <c r="D645" s="7" t="s">
        <v>2424</v>
      </c>
      <c r="E645" s="8" t="s">
        <v>2489</v>
      </c>
      <c r="F645" s="8" t="s">
        <v>2490</v>
      </c>
      <c r="G645" s="7" t="s">
        <v>83</v>
      </c>
      <c r="H645" s="8"/>
      <c r="I645" s="9" t="s">
        <v>30</v>
      </c>
      <c r="J645" s="10"/>
      <c r="K645" s="9"/>
      <c r="L645" s="11"/>
    </row>
    <row r="646" customFormat="false" ht="46.25" hidden="false" customHeight="false" outlineLevel="0" collapsed="false">
      <c r="A646" s="7" t="s">
        <v>2491</v>
      </c>
      <c r="B646" s="8" t="s">
        <v>2492</v>
      </c>
      <c r="C646" s="7" t="s">
        <v>221</v>
      </c>
      <c r="D646" s="7" t="s">
        <v>2424</v>
      </c>
      <c r="E646" s="8" t="s">
        <v>2493</v>
      </c>
      <c r="F646" s="8" t="s">
        <v>2494</v>
      </c>
      <c r="G646" s="7" t="s">
        <v>83</v>
      </c>
      <c r="H646" s="8"/>
      <c r="I646" s="9" t="s">
        <v>30</v>
      </c>
      <c r="J646" s="10"/>
      <c r="K646" s="9"/>
      <c r="L646" s="11"/>
    </row>
    <row r="647" customFormat="false" ht="57.45" hidden="false" customHeight="false" outlineLevel="0" collapsed="false">
      <c r="A647" s="7" t="s">
        <v>2495</v>
      </c>
      <c r="B647" s="8" t="s">
        <v>2496</v>
      </c>
      <c r="C647" s="7" t="s">
        <v>221</v>
      </c>
      <c r="D647" s="7" t="s">
        <v>2424</v>
      </c>
      <c r="E647" s="8" t="s">
        <v>2497</v>
      </c>
      <c r="F647" s="8" t="s">
        <v>2498</v>
      </c>
      <c r="G647" s="7" t="s">
        <v>83</v>
      </c>
      <c r="H647" s="8"/>
      <c r="I647" s="9" t="s">
        <v>30</v>
      </c>
      <c r="J647" s="10"/>
      <c r="K647" s="9"/>
      <c r="L647" s="11"/>
    </row>
    <row r="648" customFormat="false" ht="35.05" hidden="false" customHeight="false" outlineLevel="0" collapsed="false">
      <c r="A648" s="7" t="s">
        <v>2499</v>
      </c>
      <c r="B648" s="8" t="s">
        <v>2500</v>
      </c>
      <c r="C648" s="7" t="s">
        <v>260</v>
      </c>
      <c r="D648" s="7" t="s">
        <v>2424</v>
      </c>
      <c r="E648" s="8" t="s">
        <v>2501</v>
      </c>
      <c r="F648" s="8" t="s">
        <v>2502</v>
      </c>
      <c r="G648" s="7" t="s">
        <v>83</v>
      </c>
      <c r="H648" s="8"/>
      <c r="I648" s="9" t="s">
        <v>30</v>
      </c>
      <c r="J648" s="10"/>
      <c r="K648" s="9"/>
      <c r="L648" s="11"/>
    </row>
    <row r="649" customFormat="false" ht="57.45" hidden="false" customHeight="false" outlineLevel="0" collapsed="false">
      <c r="A649" s="7" t="s">
        <v>2503</v>
      </c>
      <c r="B649" s="8" t="s">
        <v>2504</v>
      </c>
      <c r="C649" s="7" t="s">
        <v>260</v>
      </c>
      <c r="D649" s="7" t="s">
        <v>2424</v>
      </c>
      <c r="E649" s="8" t="s">
        <v>2505</v>
      </c>
      <c r="F649" s="8" t="s">
        <v>2506</v>
      </c>
      <c r="G649" s="7" t="s">
        <v>83</v>
      </c>
      <c r="H649" s="8"/>
      <c r="I649" s="9" t="s">
        <v>30</v>
      </c>
      <c r="J649" s="10"/>
      <c r="K649" s="9"/>
      <c r="L649" s="11"/>
    </row>
    <row r="650" customFormat="false" ht="46.25" hidden="false" customHeight="false" outlineLevel="0" collapsed="false">
      <c r="A650" s="7" t="s">
        <v>2507</v>
      </c>
      <c r="B650" s="8" t="s">
        <v>2508</v>
      </c>
      <c r="C650" s="7" t="s">
        <v>260</v>
      </c>
      <c r="D650" s="7" t="s">
        <v>2424</v>
      </c>
      <c r="E650" s="8" t="s">
        <v>2509</v>
      </c>
      <c r="F650" s="8" t="s">
        <v>2510</v>
      </c>
      <c r="G650" s="7" t="s">
        <v>83</v>
      </c>
      <c r="H650" s="8"/>
      <c r="I650" s="9" t="s">
        <v>30</v>
      </c>
      <c r="J650" s="10"/>
      <c r="K650" s="9"/>
      <c r="L650" s="11"/>
    </row>
    <row r="651" customFormat="false" ht="46.25" hidden="false" customHeight="false" outlineLevel="0" collapsed="false">
      <c r="A651" s="7" t="s">
        <v>2511</v>
      </c>
      <c r="B651" s="8" t="s">
        <v>2512</v>
      </c>
      <c r="C651" s="7" t="s">
        <v>293</v>
      </c>
      <c r="D651" s="7" t="s">
        <v>2424</v>
      </c>
      <c r="E651" s="8" t="s">
        <v>2513</v>
      </c>
      <c r="F651" s="8" t="s">
        <v>2514</v>
      </c>
      <c r="G651" s="7" t="s">
        <v>83</v>
      </c>
      <c r="H651" s="8"/>
      <c r="I651" s="9" t="s">
        <v>30</v>
      </c>
      <c r="J651" s="10"/>
      <c r="K651" s="9"/>
      <c r="L651" s="11"/>
    </row>
    <row r="652" customFormat="false" ht="46.25" hidden="false" customHeight="false" outlineLevel="0" collapsed="false">
      <c r="A652" s="7" t="s">
        <v>2515</v>
      </c>
      <c r="B652" s="8" t="s">
        <v>2516</v>
      </c>
      <c r="C652" s="7" t="s">
        <v>293</v>
      </c>
      <c r="D652" s="7" t="s">
        <v>2424</v>
      </c>
      <c r="E652" s="8" t="s">
        <v>2517</v>
      </c>
      <c r="F652" s="8" t="s">
        <v>2064</v>
      </c>
      <c r="G652" s="7" t="s">
        <v>83</v>
      </c>
      <c r="H652" s="8"/>
      <c r="I652" s="9" t="s">
        <v>30</v>
      </c>
      <c r="J652" s="10"/>
      <c r="K652" s="9"/>
      <c r="L652" s="11"/>
    </row>
    <row r="653" customFormat="false" ht="46.25" hidden="false" customHeight="false" outlineLevel="0" collapsed="false">
      <c r="A653" s="7" t="s">
        <v>2518</v>
      </c>
      <c r="B653" s="8" t="s">
        <v>2519</v>
      </c>
      <c r="C653" s="7" t="s">
        <v>293</v>
      </c>
      <c r="D653" s="7" t="s">
        <v>2424</v>
      </c>
      <c r="E653" s="8" t="s">
        <v>2520</v>
      </c>
      <c r="F653" s="8" t="s">
        <v>2521</v>
      </c>
      <c r="G653" s="7" t="s">
        <v>83</v>
      </c>
      <c r="H653" s="8"/>
      <c r="I653" s="9" t="s">
        <v>30</v>
      </c>
      <c r="J653" s="10"/>
      <c r="K653" s="9"/>
      <c r="L653" s="11"/>
    </row>
    <row r="654" customFormat="false" ht="46.25" hidden="false" customHeight="false" outlineLevel="0" collapsed="false">
      <c r="A654" s="7" t="s">
        <v>2522</v>
      </c>
      <c r="B654" s="8" t="s">
        <v>2523</v>
      </c>
      <c r="C654" s="7" t="s">
        <v>327</v>
      </c>
      <c r="D654" s="7" t="s">
        <v>2424</v>
      </c>
      <c r="E654" s="8" t="s">
        <v>2524</v>
      </c>
      <c r="F654" s="8" t="s">
        <v>2525</v>
      </c>
      <c r="G654" s="7" t="s">
        <v>83</v>
      </c>
      <c r="H654" s="8"/>
      <c r="I654" s="9" t="s">
        <v>30</v>
      </c>
      <c r="J654" s="10"/>
      <c r="K654" s="9"/>
      <c r="L654" s="11"/>
    </row>
    <row r="655" customFormat="false" ht="46.25" hidden="false" customHeight="false" outlineLevel="0" collapsed="false">
      <c r="A655" s="7" t="s">
        <v>2526</v>
      </c>
      <c r="B655" s="8" t="s">
        <v>2527</v>
      </c>
      <c r="C655" s="7" t="s">
        <v>327</v>
      </c>
      <c r="D655" s="7" t="s">
        <v>2424</v>
      </c>
      <c r="E655" s="8" t="s">
        <v>2528</v>
      </c>
      <c r="F655" s="8" t="s">
        <v>344</v>
      </c>
      <c r="G655" s="7" t="s">
        <v>83</v>
      </c>
      <c r="H655" s="8"/>
      <c r="I655" s="9" t="s">
        <v>30</v>
      </c>
      <c r="J655" s="10"/>
      <c r="K655" s="9"/>
      <c r="L655" s="11"/>
    </row>
    <row r="656" customFormat="false" ht="46.25" hidden="false" customHeight="false" outlineLevel="0" collapsed="false">
      <c r="A656" s="7" t="s">
        <v>2529</v>
      </c>
      <c r="B656" s="8" t="s">
        <v>2530</v>
      </c>
      <c r="C656" s="7" t="s">
        <v>327</v>
      </c>
      <c r="D656" s="7" t="s">
        <v>2424</v>
      </c>
      <c r="E656" s="8" t="s">
        <v>2531</v>
      </c>
      <c r="F656" s="8" t="s">
        <v>2532</v>
      </c>
      <c r="G656" s="7" t="s">
        <v>83</v>
      </c>
      <c r="H656" s="8"/>
      <c r="I656" s="9" t="s">
        <v>30</v>
      </c>
      <c r="J656" s="10"/>
      <c r="K656" s="9"/>
      <c r="L656" s="11"/>
    </row>
    <row r="657" customFormat="false" ht="57.45" hidden="false" customHeight="false" outlineLevel="0" collapsed="false">
      <c r="A657" s="7" t="s">
        <v>2533</v>
      </c>
      <c r="B657" s="8" t="s">
        <v>2534</v>
      </c>
      <c r="C657" s="7" t="s">
        <v>370</v>
      </c>
      <c r="D657" s="7" t="s">
        <v>2424</v>
      </c>
      <c r="E657" s="8" t="s">
        <v>2535</v>
      </c>
      <c r="F657" s="8" t="s">
        <v>2536</v>
      </c>
      <c r="G657" s="7" t="s">
        <v>83</v>
      </c>
      <c r="H657" s="8"/>
      <c r="I657" s="9" t="s">
        <v>30</v>
      </c>
      <c r="J657" s="10"/>
      <c r="K657" s="9"/>
      <c r="L657" s="11"/>
    </row>
    <row r="658" customFormat="false" ht="46.25" hidden="false" customHeight="false" outlineLevel="0" collapsed="false">
      <c r="A658" s="7" t="s">
        <v>2537</v>
      </c>
      <c r="B658" s="8" t="s">
        <v>2538</v>
      </c>
      <c r="C658" s="7" t="s">
        <v>370</v>
      </c>
      <c r="D658" s="7" t="s">
        <v>2424</v>
      </c>
      <c r="E658" s="8" t="s">
        <v>2539</v>
      </c>
      <c r="F658" s="8" t="s">
        <v>375</v>
      </c>
      <c r="G658" s="7" t="s">
        <v>83</v>
      </c>
      <c r="H658" s="8"/>
      <c r="I658" s="9" t="s">
        <v>30</v>
      </c>
      <c r="J658" s="10"/>
      <c r="K658" s="9"/>
      <c r="L658" s="11"/>
    </row>
    <row r="659" customFormat="false" ht="46.25" hidden="false" customHeight="false" outlineLevel="0" collapsed="false">
      <c r="A659" s="7" t="s">
        <v>2540</v>
      </c>
      <c r="B659" s="8" t="s">
        <v>2541</v>
      </c>
      <c r="C659" s="7" t="s">
        <v>370</v>
      </c>
      <c r="D659" s="7" t="s">
        <v>2424</v>
      </c>
      <c r="E659" s="8" t="s">
        <v>2542</v>
      </c>
      <c r="F659" s="8" t="s">
        <v>2543</v>
      </c>
      <c r="G659" s="7" t="s">
        <v>83</v>
      </c>
      <c r="H659" s="8"/>
      <c r="I659" s="9" t="s">
        <v>30</v>
      </c>
      <c r="J659" s="10"/>
      <c r="K659" s="9"/>
      <c r="L659" s="11"/>
    </row>
    <row r="660" customFormat="false" ht="46.25" hidden="false" customHeight="false" outlineLevel="0" collapsed="false">
      <c r="A660" s="7" t="s">
        <v>2544</v>
      </c>
      <c r="B660" s="8" t="s">
        <v>2545</v>
      </c>
      <c r="C660" s="7" t="s">
        <v>405</v>
      </c>
      <c r="D660" s="7" t="s">
        <v>2424</v>
      </c>
      <c r="E660" s="8" t="s">
        <v>2546</v>
      </c>
      <c r="F660" s="8" t="s">
        <v>2547</v>
      </c>
      <c r="G660" s="7" t="s">
        <v>83</v>
      </c>
      <c r="H660" s="8"/>
      <c r="I660" s="9" t="s">
        <v>30</v>
      </c>
      <c r="J660" s="10"/>
      <c r="K660" s="9"/>
      <c r="L660" s="11"/>
    </row>
    <row r="661" customFormat="false" ht="46.25" hidden="false" customHeight="false" outlineLevel="0" collapsed="false">
      <c r="A661" s="7" t="s">
        <v>2548</v>
      </c>
      <c r="B661" s="8" t="s">
        <v>2549</v>
      </c>
      <c r="C661" s="7" t="s">
        <v>405</v>
      </c>
      <c r="D661" s="7" t="s">
        <v>2424</v>
      </c>
      <c r="E661" s="8" t="s">
        <v>2550</v>
      </c>
      <c r="F661" s="8" t="s">
        <v>2551</v>
      </c>
      <c r="G661" s="7" t="s">
        <v>83</v>
      </c>
      <c r="H661" s="8"/>
      <c r="I661" s="9" t="s">
        <v>30</v>
      </c>
      <c r="J661" s="10"/>
      <c r="K661" s="9"/>
      <c r="L661" s="11"/>
    </row>
    <row r="662" customFormat="false" ht="35.05" hidden="false" customHeight="false" outlineLevel="0" collapsed="false">
      <c r="A662" s="7" t="s">
        <v>2552</v>
      </c>
      <c r="B662" s="8" t="s">
        <v>2553</v>
      </c>
      <c r="C662" s="7" t="s">
        <v>405</v>
      </c>
      <c r="D662" s="7" t="s">
        <v>2424</v>
      </c>
      <c r="E662" s="8" t="s">
        <v>2554</v>
      </c>
      <c r="F662" s="8" t="s">
        <v>2555</v>
      </c>
      <c r="G662" s="7" t="s">
        <v>83</v>
      </c>
      <c r="H662" s="8"/>
      <c r="I662" s="9" t="s">
        <v>30</v>
      </c>
      <c r="J662" s="10"/>
      <c r="K662" s="9"/>
      <c r="L662" s="11"/>
    </row>
    <row r="663" customFormat="false" ht="35.05" hidden="false" customHeight="false" outlineLevel="0" collapsed="false">
      <c r="A663" s="7" t="s">
        <v>2556</v>
      </c>
      <c r="B663" s="8" t="s">
        <v>2557</v>
      </c>
      <c r="C663" s="7" t="s">
        <v>439</v>
      </c>
      <c r="D663" s="7" t="s">
        <v>2424</v>
      </c>
      <c r="E663" s="8" t="s">
        <v>2558</v>
      </c>
      <c r="F663" s="8" t="s">
        <v>2559</v>
      </c>
      <c r="G663" s="7" t="s">
        <v>83</v>
      </c>
      <c r="H663" s="8"/>
      <c r="I663" s="9" t="s">
        <v>30</v>
      </c>
      <c r="J663" s="10"/>
      <c r="K663" s="9"/>
      <c r="L663" s="11"/>
    </row>
    <row r="664" customFormat="false" ht="35.05" hidden="false" customHeight="false" outlineLevel="0" collapsed="false">
      <c r="A664" s="7" t="s">
        <v>2560</v>
      </c>
      <c r="B664" s="8" t="s">
        <v>2561</v>
      </c>
      <c r="C664" s="7" t="s">
        <v>439</v>
      </c>
      <c r="D664" s="7" t="s">
        <v>2424</v>
      </c>
      <c r="E664" s="8" t="s">
        <v>2562</v>
      </c>
      <c r="F664" s="8" t="s">
        <v>2563</v>
      </c>
      <c r="G664" s="7" t="s">
        <v>83</v>
      </c>
      <c r="H664" s="8"/>
      <c r="I664" s="9" t="s">
        <v>30</v>
      </c>
      <c r="J664" s="10"/>
      <c r="K664" s="9"/>
      <c r="L664" s="11"/>
    </row>
    <row r="665" customFormat="false" ht="46.25" hidden="false" customHeight="false" outlineLevel="0" collapsed="false">
      <c r="A665" s="7" t="s">
        <v>2564</v>
      </c>
      <c r="B665" s="8" t="s">
        <v>2565</v>
      </c>
      <c r="C665" s="7" t="s">
        <v>439</v>
      </c>
      <c r="D665" s="7" t="s">
        <v>2424</v>
      </c>
      <c r="E665" s="8" t="s">
        <v>2566</v>
      </c>
      <c r="F665" s="8" t="s">
        <v>2567</v>
      </c>
      <c r="G665" s="7" t="s">
        <v>83</v>
      </c>
      <c r="H665" s="8"/>
      <c r="I665" s="9" t="s">
        <v>30</v>
      </c>
      <c r="J665" s="10"/>
      <c r="K665" s="9"/>
      <c r="L665" s="11"/>
    </row>
    <row r="666" customFormat="false" ht="57.45" hidden="false" customHeight="false" outlineLevel="0" collapsed="false">
      <c r="A666" s="7" t="s">
        <v>2568</v>
      </c>
      <c r="B666" s="8" t="s">
        <v>2569</v>
      </c>
      <c r="C666" s="7" t="s">
        <v>473</v>
      </c>
      <c r="D666" s="7" t="s">
        <v>2424</v>
      </c>
      <c r="E666" s="8" t="s">
        <v>2570</v>
      </c>
      <c r="F666" s="8" t="s">
        <v>2571</v>
      </c>
      <c r="G666" s="7" t="s">
        <v>83</v>
      </c>
      <c r="H666" s="8"/>
      <c r="I666" s="9" t="s">
        <v>30</v>
      </c>
      <c r="J666" s="10"/>
      <c r="K666" s="9"/>
      <c r="L666" s="11"/>
    </row>
    <row r="667" customFormat="false" ht="35.05" hidden="false" customHeight="false" outlineLevel="0" collapsed="false">
      <c r="A667" s="7" t="s">
        <v>2572</v>
      </c>
      <c r="B667" s="8" t="s">
        <v>2573</v>
      </c>
      <c r="C667" s="7" t="s">
        <v>473</v>
      </c>
      <c r="D667" s="7" t="s">
        <v>2424</v>
      </c>
      <c r="E667" s="8" t="s">
        <v>2574</v>
      </c>
      <c r="F667" s="8" t="s">
        <v>2575</v>
      </c>
      <c r="G667" s="7" t="s">
        <v>83</v>
      </c>
      <c r="H667" s="8"/>
      <c r="I667" s="9" t="s">
        <v>30</v>
      </c>
      <c r="J667" s="10"/>
      <c r="K667" s="9"/>
      <c r="L667" s="11"/>
    </row>
    <row r="668" customFormat="false" ht="57.45" hidden="false" customHeight="false" outlineLevel="0" collapsed="false">
      <c r="A668" s="7" t="s">
        <v>2576</v>
      </c>
      <c r="B668" s="8" t="s">
        <v>2577</v>
      </c>
      <c r="C668" s="7" t="s">
        <v>473</v>
      </c>
      <c r="D668" s="7" t="s">
        <v>2424</v>
      </c>
      <c r="E668" s="8" t="s">
        <v>2578</v>
      </c>
      <c r="F668" s="8" t="s">
        <v>2579</v>
      </c>
      <c r="G668" s="7" t="s">
        <v>83</v>
      </c>
      <c r="H668" s="8"/>
      <c r="I668" s="9" t="s">
        <v>30</v>
      </c>
      <c r="J668" s="10"/>
      <c r="K668" s="9"/>
      <c r="L668" s="11"/>
    </row>
    <row r="669" customFormat="false" ht="46.25" hidden="false" customHeight="false" outlineLevel="0" collapsed="false">
      <c r="A669" s="7" t="s">
        <v>2580</v>
      </c>
      <c r="B669" s="8" t="s">
        <v>2581</v>
      </c>
      <c r="C669" s="7" t="s">
        <v>512</v>
      </c>
      <c r="D669" s="7" t="s">
        <v>2424</v>
      </c>
      <c r="E669" s="8" t="s">
        <v>2582</v>
      </c>
      <c r="F669" s="8" t="s">
        <v>2583</v>
      </c>
      <c r="G669" s="7" t="s">
        <v>83</v>
      </c>
      <c r="H669" s="8"/>
      <c r="I669" s="9" t="s">
        <v>30</v>
      </c>
      <c r="J669" s="10"/>
      <c r="K669" s="9"/>
      <c r="L669" s="11"/>
    </row>
    <row r="670" customFormat="false" ht="46.25" hidden="false" customHeight="false" outlineLevel="0" collapsed="false">
      <c r="A670" s="7" t="s">
        <v>2584</v>
      </c>
      <c r="B670" s="8" t="s">
        <v>2585</v>
      </c>
      <c r="C670" s="7" t="s">
        <v>512</v>
      </c>
      <c r="D670" s="7" t="s">
        <v>2424</v>
      </c>
      <c r="E670" s="8" t="s">
        <v>2586</v>
      </c>
      <c r="F670" s="8" t="s">
        <v>2587</v>
      </c>
      <c r="G670" s="7" t="s">
        <v>83</v>
      </c>
      <c r="H670" s="8"/>
      <c r="I670" s="9" t="s">
        <v>30</v>
      </c>
      <c r="J670" s="10"/>
      <c r="K670" s="9"/>
      <c r="L670" s="11"/>
    </row>
    <row r="671" customFormat="false" ht="46.25" hidden="false" customHeight="false" outlineLevel="0" collapsed="false">
      <c r="A671" s="7" t="s">
        <v>2588</v>
      </c>
      <c r="B671" s="8" t="s">
        <v>2589</v>
      </c>
      <c r="C671" s="7" t="s">
        <v>512</v>
      </c>
      <c r="D671" s="7" t="s">
        <v>2424</v>
      </c>
      <c r="E671" s="8" t="s">
        <v>2590</v>
      </c>
      <c r="F671" s="8" t="s">
        <v>2591</v>
      </c>
      <c r="G671" s="7" t="s">
        <v>83</v>
      </c>
      <c r="H671" s="8"/>
      <c r="I671" s="9" t="s">
        <v>30</v>
      </c>
      <c r="J671" s="10"/>
      <c r="K671" s="9"/>
      <c r="L671" s="11"/>
    </row>
    <row r="672" customFormat="false" ht="46.25" hidden="false" customHeight="false" outlineLevel="0" collapsed="false">
      <c r="A672" s="7" t="s">
        <v>2592</v>
      </c>
      <c r="B672" s="8" t="s">
        <v>2593</v>
      </c>
      <c r="C672" s="7" t="s">
        <v>551</v>
      </c>
      <c r="D672" s="7" t="s">
        <v>2424</v>
      </c>
      <c r="E672" s="8" t="s">
        <v>2594</v>
      </c>
      <c r="F672" s="8" t="s">
        <v>2595</v>
      </c>
      <c r="G672" s="7" t="s">
        <v>83</v>
      </c>
      <c r="H672" s="8"/>
      <c r="I672" s="9" t="s">
        <v>30</v>
      </c>
      <c r="J672" s="10"/>
      <c r="K672" s="9"/>
      <c r="L672" s="11"/>
    </row>
    <row r="673" customFormat="false" ht="35.05" hidden="false" customHeight="false" outlineLevel="0" collapsed="false">
      <c r="A673" s="7" t="s">
        <v>2596</v>
      </c>
      <c r="B673" s="8" t="s">
        <v>2597</v>
      </c>
      <c r="C673" s="7" t="s">
        <v>551</v>
      </c>
      <c r="D673" s="7" t="s">
        <v>2424</v>
      </c>
      <c r="E673" s="8" t="s">
        <v>2598</v>
      </c>
      <c r="F673" s="8" t="s">
        <v>710</v>
      </c>
      <c r="G673" s="7" t="s">
        <v>83</v>
      </c>
      <c r="H673" s="8"/>
      <c r="I673" s="9" t="s">
        <v>30</v>
      </c>
      <c r="J673" s="10"/>
      <c r="K673" s="9"/>
      <c r="L673" s="11"/>
    </row>
    <row r="674" customFormat="false" ht="57.45" hidden="false" customHeight="false" outlineLevel="0" collapsed="false">
      <c r="A674" s="7" t="s">
        <v>2599</v>
      </c>
      <c r="B674" s="8" t="s">
        <v>2600</v>
      </c>
      <c r="C674" s="7" t="s">
        <v>551</v>
      </c>
      <c r="D674" s="7" t="s">
        <v>2424</v>
      </c>
      <c r="E674" s="8" t="s">
        <v>2601</v>
      </c>
      <c r="F674" s="8" t="s">
        <v>2602</v>
      </c>
      <c r="G674" s="7" t="s">
        <v>83</v>
      </c>
      <c r="H674" s="8"/>
      <c r="I674" s="9" t="s">
        <v>30</v>
      </c>
      <c r="J674" s="10"/>
      <c r="K674" s="9"/>
      <c r="L674" s="11"/>
    </row>
    <row r="675" customFormat="false" ht="57.45" hidden="false" customHeight="false" outlineLevel="0" collapsed="false">
      <c r="A675" s="7" t="s">
        <v>2603</v>
      </c>
      <c r="B675" s="8" t="s">
        <v>2604</v>
      </c>
      <c r="C675" s="7" t="s">
        <v>590</v>
      </c>
      <c r="D675" s="7" t="s">
        <v>2424</v>
      </c>
      <c r="E675" s="8" t="s">
        <v>2605</v>
      </c>
      <c r="F675" s="8" t="s">
        <v>2606</v>
      </c>
      <c r="G675" s="7" t="s">
        <v>83</v>
      </c>
      <c r="H675" s="8"/>
      <c r="I675" s="9" t="s">
        <v>30</v>
      </c>
      <c r="J675" s="10"/>
      <c r="K675" s="9"/>
      <c r="L675" s="11"/>
    </row>
    <row r="676" customFormat="false" ht="57.45" hidden="false" customHeight="false" outlineLevel="0" collapsed="false">
      <c r="A676" s="7" t="s">
        <v>2607</v>
      </c>
      <c r="B676" s="8" t="s">
        <v>2608</v>
      </c>
      <c r="C676" s="7" t="s">
        <v>590</v>
      </c>
      <c r="D676" s="7" t="s">
        <v>2424</v>
      </c>
      <c r="E676" s="8" t="s">
        <v>2609</v>
      </c>
      <c r="F676" s="8" t="s">
        <v>607</v>
      </c>
      <c r="G676" s="7" t="s">
        <v>83</v>
      </c>
      <c r="H676" s="8"/>
      <c r="I676" s="9" t="s">
        <v>30</v>
      </c>
      <c r="J676" s="10"/>
      <c r="K676" s="9"/>
      <c r="L676" s="11"/>
    </row>
    <row r="677" customFormat="false" ht="46.25" hidden="false" customHeight="false" outlineLevel="0" collapsed="false">
      <c r="A677" s="7" t="s">
        <v>2610</v>
      </c>
      <c r="B677" s="8" t="s">
        <v>2611</v>
      </c>
      <c r="C677" s="7" t="s">
        <v>590</v>
      </c>
      <c r="D677" s="7" t="s">
        <v>2424</v>
      </c>
      <c r="E677" s="8" t="s">
        <v>2612</v>
      </c>
      <c r="F677" s="8" t="s">
        <v>599</v>
      </c>
      <c r="G677" s="7" t="s">
        <v>83</v>
      </c>
      <c r="H677" s="8"/>
      <c r="I677" s="9" t="s">
        <v>30</v>
      </c>
      <c r="J677" s="10"/>
      <c r="K677" s="9"/>
      <c r="L677" s="11"/>
    </row>
    <row r="678" customFormat="false" ht="46.25" hidden="false" customHeight="false" outlineLevel="0" collapsed="false">
      <c r="A678" s="7" t="s">
        <v>2613</v>
      </c>
      <c r="B678" s="8" t="s">
        <v>2614</v>
      </c>
      <c r="C678" s="7" t="s">
        <v>625</v>
      </c>
      <c r="D678" s="7" t="s">
        <v>2424</v>
      </c>
      <c r="E678" s="8" t="s">
        <v>2615</v>
      </c>
      <c r="F678" s="8" t="s">
        <v>2616</v>
      </c>
      <c r="G678" s="7" t="s">
        <v>83</v>
      </c>
      <c r="H678" s="8"/>
      <c r="I678" s="9" t="s">
        <v>30</v>
      </c>
      <c r="J678" s="10"/>
      <c r="K678" s="9"/>
      <c r="L678" s="11"/>
    </row>
    <row r="679" customFormat="false" ht="46.25" hidden="false" customHeight="false" outlineLevel="0" collapsed="false">
      <c r="A679" s="7" t="s">
        <v>2617</v>
      </c>
      <c r="B679" s="8" t="s">
        <v>2618</v>
      </c>
      <c r="C679" s="7" t="s">
        <v>625</v>
      </c>
      <c r="D679" s="7" t="s">
        <v>2424</v>
      </c>
      <c r="E679" s="8" t="s">
        <v>2619</v>
      </c>
      <c r="F679" s="8" t="s">
        <v>2620</v>
      </c>
      <c r="G679" s="7" t="s">
        <v>83</v>
      </c>
      <c r="H679" s="8"/>
      <c r="I679" s="9" t="s">
        <v>30</v>
      </c>
      <c r="J679" s="10"/>
      <c r="K679" s="9"/>
      <c r="L679" s="11"/>
    </row>
    <row r="680" customFormat="false" ht="46.25" hidden="false" customHeight="false" outlineLevel="0" collapsed="false">
      <c r="A680" s="7" t="s">
        <v>2621</v>
      </c>
      <c r="B680" s="8" t="s">
        <v>2622</v>
      </c>
      <c r="C680" s="7" t="s">
        <v>625</v>
      </c>
      <c r="D680" s="7" t="s">
        <v>2424</v>
      </c>
      <c r="E680" s="8" t="s">
        <v>2623</v>
      </c>
      <c r="F680" s="8" t="s">
        <v>2624</v>
      </c>
      <c r="G680" s="7" t="s">
        <v>83</v>
      </c>
      <c r="H680" s="8"/>
      <c r="I680" s="9" t="s">
        <v>30</v>
      </c>
      <c r="J680" s="10"/>
      <c r="K680" s="9"/>
      <c r="L680" s="11"/>
    </row>
    <row r="681" customFormat="false" ht="57.45" hidden="false" customHeight="false" outlineLevel="0" collapsed="false">
      <c r="A681" s="7" t="s">
        <v>2625</v>
      </c>
      <c r="B681" s="8" t="s">
        <v>2626</v>
      </c>
      <c r="C681" s="7" t="s">
        <v>660</v>
      </c>
      <c r="D681" s="7" t="s">
        <v>2424</v>
      </c>
      <c r="E681" s="8" t="s">
        <v>2627</v>
      </c>
      <c r="F681" s="8" t="s">
        <v>2628</v>
      </c>
      <c r="G681" s="7" t="s">
        <v>83</v>
      </c>
      <c r="H681" s="8"/>
      <c r="I681" s="9" t="s">
        <v>30</v>
      </c>
      <c r="J681" s="10"/>
      <c r="K681" s="9"/>
      <c r="L681" s="11"/>
    </row>
    <row r="682" customFormat="false" ht="35.05" hidden="false" customHeight="false" outlineLevel="0" collapsed="false">
      <c r="A682" s="7" t="s">
        <v>2629</v>
      </c>
      <c r="B682" s="8" t="s">
        <v>2630</v>
      </c>
      <c r="C682" s="7" t="s">
        <v>660</v>
      </c>
      <c r="D682" s="7" t="s">
        <v>2424</v>
      </c>
      <c r="E682" s="8" t="s">
        <v>2631</v>
      </c>
      <c r="F682" s="8" t="s">
        <v>668</v>
      </c>
      <c r="G682" s="7" t="s">
        <v>83</v>
      </c>
      <c r="H682" s="8"/>
      <c r="I682" s="9" t="s">
        <v>30</v>
      </c>
      <c r="J682" s="10"/>
      <c r="K682" s="9"/>
      <c r="L682" s="11"/>
    </row>
    <row r="683" customFormat="false" ht="57.45" hidden="false" customHeight="false" outlineLevel="0" collapsed="false">
      <c r="A683" s="7" t="s">
        <v>2632</v>
      </c>
      <c r="B683" s="8" t="s">
        <v>2633</v>
      </c>
      <c r="C683" s="7" t="s">
        <v>660</v>
      </c>
      <c r="D683" s="7" t="s">
        <v>2424</v>
      </c>
      <c r="E683" s="8" t="s">
        <v>2634</v>
      </c>
      <c r="F683" s="8" t="s">
        <v>2635</v>
      </c>
      <c r="G683" s="7" t="s">
        <v>83</v>
      </c>
      <c r="H683" s="8"/>
      <c r="I683" s="9" t="s">
        <v>30</v>
      </c>
      <c r="J683" s="10"/>
      <c r="K683" s="9"/>
      <c r="L683" s="11"/>
    </row>
    <row r="684" customFormat="false" ht="46.25" hidden="false" customHeight="false" outlineLevel="0" collapsed="false">
      <c r="A684" s="7" t="s">
        <v>2636</v>
      </c>
      <c r="B684" s="8" t="s">
        <v>2637</v>
      </c>
      <c r="C684" s="7" t="s">
        <v>697</v>
      </c>
      <c r="D684" s="7" t="s">
        <v>2424</v>
      </c>
      <c r="E684" s="8" t="s">
        <v>2638</v>
      </c>
      <c r="F684" s="8" t="s">
        <v>706</v>
      </c>
      <c r="G684" s="7" t="s">
        <v>83</v>
      </c>
      <c r="H684" s="8"/>
      <c r="I684" s="9" t="s">
        <v>30</v>
      </c>
      <c r="J684" s="10"/>
      <c r="K684" s="9"/>
      <c r="L684" s="11"/>
    </row>
    <row r="685" customFormat="false" ht="46.25" hidden="false" customHeight="false" outlineLevel="0" collapsed="false">
      <c r="A685" s="7" t="s">
        <v>2639</v>
      </c>
      <c r="B685" s="8" t="s">
        <v>2640</v>
      </c>
      <c r="C685" s="7" t="s">
        <v>697</v>
      </c>
      <c r="D685" s="7" t="s">
        <v>2424</v>
      </c>
      <c r="E685" s="8" t="s">
        <v>2641</v>
      </c>
      <c r="F685" s="8" t="s">
        <v>718</v>
      </c>
      <c r="G685" s="7" t="s">
        <v>83</v>
      </c>
      <c r="H685" s="8"/>
      <c r="I685" s="9" t="s">
        <v>30</v>
      </c>
      <c r="J685" s="10"/>
      <c r="K685" s="9"/>
      <c r="L685" s="11"/>
    </row>
    <row r="686" customFormat="false" ht="46.25" hidden="false" customHeight="false" outlineLevel="0" collapsed="false">
      <c r="A686" s="7" t="s">
        <v>2642</v>
      </c>
      <c r="B686" s="8" t="s">
        <v>2643</v>
      </c>
      <c r="C686" s="7" t="s">
        <v>697</v>
      </c>
      <c r="D686" s="7" t="s">
        <v>2424</v>
      </c>
      <c r="E686" s="8" t="s">
        <v>2644</v>
      </c>
      <c r="F686" s="8" t="s">
        <v>2645</v>
      </c>
      <c r="G686" s="7" t="s">
        <v>83</v>
      </c>
      <c r="H686" s="8"/>
      <c r="I686" s="9" t="s">
        <v>30</v>
      </c>
      <c r="J686" s="10"/>
      <c r="K686" s="9"/>
      <c r="L686" s="11"/>
    </row>
    <row r="687" customFormat="false" ht="57.45" hidden="false" customHeight="false" outlineLevel="0" collapsed="false">
      <c r="A687" s="7" t="s">
        <v>2646</v>
      </c>
      <c r="B687" s="8" t="s">
        <v>2647</v>
      </c>
      <c r="C687" s="7" t="s">
        <v>736</v>
      </c>
      <c r="D687" s="7" t="s">
        <v>2424</v>
      </c>
      <c r="E687" s="8" t="s">
        <v>2648</v>
      </c>
      <c r="F687" s="8" t="s">
        <v>753</v>
      </c>
      <c r="G687" s="7" t="s">
        <v>83</v>
      </c>
      <c r="H687" s="8"/>
      <c r="I687" s="9" t="s">
        <v>30</v>
      </c>
      <c r="J687" s="10"/>
      <c r="K687" s="9"/>
      <c r="L687" s="11"/>
    </row>
    <row r="688" customFormat="false" ht="46.25" hidden="false" customHeight="false" outlineLevel="0" collapsed="false">
      <c r="A688" s="7" t="s">
        <v>2649</v>
      </c>
      <c r="B688" s="8" t="s">
        <v>2650</v>
      </c>
      <c r="C688" s="7" t="s">
        <v>736</v>
      </c>
      <c r="D688" s="7" t="s">
        <v>2424</v>
      </c>
      <c r="E688" s="8" t="s">
        <v>2651</v>
      </c>
      <c r="F688" s="8" t="s">
        <v>2652</v>
      </c>
      <c r="G688" s="7" t="s">
        <v>83</v>
      </c>
      <c r="H688" s="8"/>
      <c r="I688" s="9" t="s">
        <v>30</v>
      </c>
      <c r="J688" s="10"/>
      <c r="K688" s="9"/>
      <c r="L688" s="11"/>
    </row>
    <row r="689" customFormat="false" ht="46.25" hidden="false" customHeight="false" outlineLevel="0" collapsed="false">
      <c r="A689" s="7" t="s">
        <v>2653</v>
      </c>
      <c r="B689" s="8" t="s">
        <v>2654</v>
      </c>
      <c r="C689" s="7" t="s">
        <v>736</v>
      </c>
      <c r="D689" s="7" t="s">
        <v>2424</v>
      </c>
      <c r="E689" s="8" t="s">
        <v>2655</v>
      </c>
      <c r="F689" s="8" t="s">
        <v>2656</v>
      </c>
      <c r="G689" s="7" t="s">
        <v>83</v>
      </c>
      <c r="H689" s="8"/>
      <c r="I689" s="9" t="s">
        <v>30</v>
      </c>
      <c r="J689" s="10"/>
      <c r="K689" s="9"/>
      <c r="L689" s="11"/>
    </row>
    <row r="690" customFormat="false" ht="46.25" hidden="false" customHeight="false" outlineLevel="0" collapsed="false">
      <c r="A690" s="7" t="s">
        <v>2657</v>
      </c>
      <c r="B690" s="8" t="s">
        <v>2658</v>
      </c>
      <c r="C690" s="7" t="s">
        <v>775</v>
      </c>
      <c r="D690" s="7" t="s">
        <v>2424</v>
      </c>
      <c r="E690" s="8" t="s">
        <v>2659</v>
      </c>
      <c r="F690" s="8" t="s">
        <v>2660</v>
      </c>
      <c r="G690" s="7" t="s">
        <v>83</v>
      </c>
      <c r="H690" s="8"/>
      <c r="I690" s="9" t="s">
        <v>30</v>
      </c>
      <c r="J690" s="10"/>
      <c r="K690" s="9"/>
      <c r="L690" s="11"/>
    </row>
    <row r="691" customFormat="false" ht="57.45" hidden="false" customHeight="false" outlineLevel="0" collapsed="false">
      <c r="A691" s="7" t="s">
        <v>2661</v>
      </c>
      <c r="B691" s="8" t="s">
        <v>2662</v>
      </c>
      <c r="C691" s="7" t="s">
        <v>775</v>
      </c>
      <c r="D691" s="7" t="s">
        <v>2424</v>
      </c>
      <c r="E691" s="8" t="s">
        <v>2663</v>
      </c>
      <c r="F691" s="8" t="s">
        <v>786</v>
      </c>
      <c r="G691" s="7" t="s">
        <v>83</v>
      </c>
      <c r="H691" s="8"/>
      <c r="I691" s="9" t="s">
        <v>30</v>
      </c>
      <c r="J691" s="10"/>
      <c r="K691" s="9"/>
      <c r="L691" s="11"/>
    </row>
    <row r="692" customFormat="false" ht="46.25" hidden="false" customHeight="false" outlineLevel="0" collapsed="false">
      <c r="A692" s="7" t="s">
        <v>2664</v>
      </c>
      <c r="B692" s="8" t="s">
        <v>2665</v>
      </c>
      <c r="C692" s="7" t="s">
        <v>775</v>
      </c>
      <c r="D692" s="7" t="s">
        <v>2424</v>
      </c>
      <c r="E692" s="8" t="s">
        <v>2666</v>
      </c>
      <c r="F692" s="8" t="s">
        <v>790</v>
      </c>
      <c r="G692" s="7" t="s">
        <v>83</v>
      </c>
      <c r="H692" s="8"/>
      <c r="I692" s="9" t="s">
        <v>30</v>
      </c>
      <c r="J692" s="10"/>
      <c r="K692" s="9"/>
      <c r="L692" s="11"/>
    </row>
    <row r="693" customFormat="false" ht="46.25" hidden="false" customHeight="false" outlineLevel="0" collapsed="false">
      <c r="A693" s="7" t="s">
        <v>2667</v>
      </c>
      <c r="B693" s="8" t="s">
        <v>2668</v>
      </c>
      <c r="C693" s="7" t="s">
        <v>808</v>
      </c>
      <c r="D693" s="7" t="s">
        <v>2424</v>
      </c>
      <c r="E693" s="8" t="s">
        <v>2669</v>
      </c>
      <c r="F693" s="8" t="s">
        <v>2670</v>
      </c>
      <c r="G693" s="7" t="s">
        <v>83</v>
      </c>
      <c r="H693" s="8"/>
      <c r="I693" s="9" t="s">
        <v>30</v>
      </c>
      <c r="J693" s="10"/>
      <c r="K693" s="9"/>
      <c r="L693" s="11"/>
    </row>
    <row r="694" customFormat="false" ht="46.25" hidden="false" customHeight="false" outlineLevel="0" collapsed="false">
      <c r="A694" s="7" t="s">
        <v>2671</v>
      </c>
      <c r="B694" s="8" t="s">
        <v>2672</v>
      </c>
      <c r="C694" s="7" t="s">
        <v>808</v>
      </c>
      <c r="D694" s="7" t="s">
        <v>2424</v>
      </c>
      <c r="E694" s="8" t="s">
        <v>2673</v>
      </c>
      <c r="F694" s="8" t="s">
        <v>2194</v>
      </c>
      <c r="G694" s="7" t="s">
        <v>83</v>
      </c>
      <c r="H694" s="8"/>
      <c r="I694" s="9" t="s">
        <v>30</v>
      </c>
      <c r="J694" s="10"/>
      <c r="K694" s="9"/>
      <c r="L694" s="11"/>
    </row>
    <row r="695" customFormat="false" ht="57.45" hidden="false" customHeight="false" outlineLevel="0" collapsed="false">
      <c r="A695" s="7" t="s">
        <v>2674</v>
      </c>
      <c r="B695" s="8" t="s">
        <v>2675</v>
      </c>
      <c r="C695" s="7" t="s">
        <v>808</v>
      </c>
      <c r="D695" s="7" t="s">
        <v>2424</v>
      </c>
      <c r="E695" s="8" t="s">
        <v>2676</v>
      </c>
      <c r="F695" s="8" t="s">
        <v>2677</v>
      </c>
      <c r="G695" s="7" t="s">
        <v>83</v>
      </c>
      <c r="H695" s="8"/>
      <c r="I695" s="9" t="s">
        <v>30</v>
      </c>
      <c r="J695" s="10"/>
      <c r="K695" s="9"/>
      <c r="L695" s="11"/>
    </row>
    <row r="696" customFormat="false" ht="57.45" hidden="false" customHeight="false" outlineLevel="0" collapsed="false">
      <c r="A696" s="7" t="s">
        <v>2678</v>
      </c>
      <c r="B696" s="8" t="s">
        <v>2679</v>
      </c>
      <c r="C696" s="7" t="s">
        <v>845</v>
      </c>
      <c r="D696" s="7" t="s">
        <v>2424</v>
      </c>
      <c r="E696" s="8" t="s">
        <v>2680</v>
      </c>
      <c r="F696" s="8" t="s">
        <v>2681</v>
      </c>
      <c r="G696" s="7" t="s">
        <v>83</v>
      </c>
      <c r="H696" s="8"/>
      <c r="I696" s="9" t="s">
        <v>30</v>
      </c>
      <c r="J696" s="10"/>
      <c r="K696" s="9"/>
      <c r="L696" s="11"/>
    </row>
    <row r="697" customFormat="false" ht="46.25" hidden="false" customHeight="false" outlineLevel="0" collapsed="false">
      <c r="A697" s="7" t="s">
        <v>2682</v>
      </c>
      <c r="B697" s="8" t="s">
        <v>2683</v>
      </c>
      <c r="C697" s="7" t="s">
        <v>845</v>
      </c>
      <c r="D697" s="7" t="s">
        <v>2424</v>
      </c>
      <c r="E697" s="8" t="s">
        <v>2684</v>
      </c>
      <c r="F697" s="8" t="s">
        <v>1855</v>
      </c>
      <c r="G697" s="7" t="s">
        <v>83</v>
      </c>
      <c r="H697" s="8"/>
      <c r="I697" s="9" t="s">
        <v>30</v>
      </c>
      <c r="J697" s="10"/>
      <c r="K697" s="9"/>
      <c r="L697" s="11"/>
    </row>
    <row r="698" customFormat="false" ht="46.25" hidden="false" customHeight="false" outlineLevel="0" collapsed="false">
      <c r="A698" s="7" t="s">
        <v>2685</v>
      </c>
      <c r="B698" s="8" t="s">
        <v>2686</v>
      </c>
      <c r="C698" s="7" t="s">
        <v>845</v>
      </c>
      <c r="D698" s="7" t="s">
        <v>2424</v>
      </c>
      <c r="E698" s="8" t="s">
        <v>2687</v>
      </c>
      <c r="F698" s="8" t="s">
        <v>2688</v>
      </c>
      <c r="G698" s="7" t="s">
        <v>83</v>
      </c>
      <c r="H698" s="8"/>
      <c r="I698" s="9" t="s">
        <v>30</v>
      </c>
      <c r="J698" s="10"/>
      <c r="K698" s="9"/>
      <c r="L698" s="11"/>
    </row>
    <row r="699" customFormat="false" ht="68.65" hidden="false" customHeight="false" outlineLevel="0" collapsed="false">
      <c r="A699" s="7" t="s">
        <v>2689</v>
      </c>
      <c r="B699" s="8" t="s">
        <v>2690</v>
      </c>
      <c r="C699" s="7" t="s">
        <v>882</v>
      </c>
      <c r="D699" s="7" t="s">
        <v>2424</v>
      </c>
      <c r="E699" s="8" t="s">
        <v>2691</v>
      </c>
      <c r="F699" s="8" t="s">
        <v>2692</v>
      </c>
      <c r="G699" s="7" t="s">
        <v>83</v>
      </c>
      <c r="H699" s="8" t="s">
        <v>884</v>
      </c>
      <c r="I699" s="9" t="s">
        <v>30</v>
      </c>
      <c r="J699" s="10"/>
      <c r="K699" s="9"/>
      <c r="L699" s="11"/>
    </row>
    <row r="700" customFormat="false" ht="57.45" hidden="false" customHeight="false" outlineLevel="0" collapsed="false">
      <c r="A700" s="7" t="s">
        <v>2693</v>
      </c>
      <c r="B700" s="8" t="s">
        <v>2694</v>
      </c>
      <c r="C700" s="7" t="s">
        <v>882</v>
      </c>
      <c r="D700" s="7" t="s">
        <v>2424</v>
      </c>
      <c r="E700" s="8" t="s">
        <v>2695</v>
      </c>
      <c r="F700" s="8" t="s">
        <v>904</v>
      </c>
      <c r="G700" s="7" t="s">
        <v>83</v>
      </c>
      <c r="H700" s="8"/>
      <c r="I700" s="9" t="s">
        <v>30</v>
      </c>
      <c r="J700" s="10"/>
      <c r="K700" s="9"/>
      <c r="L700" s="11"/>
    </row>
    <row r="701" customFormat="false" ht="57.45" hidden="false" customHeight="false" outlineLevel="0" collapsed="false">
      <c r="A701" s="7" t="s">
        <v>2696</v>
      </c>
      <c r="B701" s="8" t="s">
        <v>2697</v>
      </c>
      <c r="C701" s="7" t="s">
        <v>882</v>
      </c>
      <c r="D701" s="7" t="s">
        <v>2424</v>
      </c>
      <c r="E701" s="8" t="s">
        <v>2698</v>
      </c>
      <c r="F701" s="8" t="s">
        <v>2699</v>
      </c>
      <c r="G701" s="7" t="s">
        <v>83</v>
      </c>
      <c r="H701" s="8"/>
      <c r="I701" s="9" t="s">
        <v>30</v>
      </c>
      <c r="J701" s="10"/>
      <c r="K701" s="9"/>
      <c r="L701" s="11"/>
    </row>
    <row r="702" customFormat="false" ht="57.45" hidden="false" customHeight="false" outlineLevel="0" collapsed="false">
      <c r="A702" s="7" t="s">
        <v>2700</v>
      </c>
      <c r="B702" s="8" t="s">
        <v>2701</v>
      </c>
      <c r="C702" s="7" t="s">
        <v>922</v>
      </c>
      <c r="D702" s="7" t="s">
        <v>2424</v>
      </c>
      <c r="E702" s="8" t="s">
        <v>2702</v>
      </c>
      <c r="F702" s="8" t="s">
        <v>2703</v>
      </c>
      <c r="G702" s="7" t="s">
        <v>83</v>
      </c>
      <c r="H702" s="8"/>
      <c r="I702" s="9" t="s">
        <v>30</v>
      </c>
      <c r="J702" s="10"/>
      <c r="K702" s="9"/>
      <c r="L702" s="11"/>
    </row>
    <row r="703" customFormat="false" ht="46.25" hidden="false" customHeight="false" outlineLevel="0" collapsed="false">
      <c r="A703" s="7" t="s">
        <v>2704</v>
      </c>
      <c r="B703" s="8" t="s">
        <v>2705</v>
      </c>
      <c r="C703" s="7" t="s">
        <v>922</v>
      </c>
      <c r="D703" s="7" t="s">
        <v>2424</v>
      </c>
      <c r="E703" s="8" t="s">
        <v>2706</v>
      </c>
      <c r="F703" s="8" t="s">
        <v>2707</v>
      </c>
      <c r="G703" s="7" t="s">
        <v>83</v>
      </c>
      <c r="H703" s="8"/>
      <c r="I703" s="9" t="s">
        <v>30</v>
      </c>
      <c r="J703" s="10"/>
      <c r="K703" s="9"/>
      <c r="L703" s="11"/>
    </row>
    <row r="704" customFormat="false" ht="46.25" hidden="false" customHeight="false" outlineLevel="0" collapsed="false">
      <c r="A704" s="7" t="s">
        <v>2708</v>
      </c>
      <c r="B704" s="8" t="s">
        <v>2709</v>
      </c>
      <c r="C704" s="7" t="s">
        <v>922</v>
      </c>
      <c r="D704" s="7" t="s">
        <v>2424</v>
      </c>
      <c r="E704" s="8" t="s">
        <v>2710</v>
      </c>
      <c r="F704" s="8" t="s">
        <v>2711</v>
      </c>
      <c r="G704" s="7" t="s">
        <v>83</v>
      </c>
      <c r="H704" s="8"/>
      <c r="I704" s="9" t="s">
        <v>30</v>
      </c>
      <c r="J704" s="10"/>
      <c r="K704" s="9"/>
      <c r="L704" s="11"/>
    </row>
    <row r="705" customFormat="false" ht="46.25" hidden="false" customHeight="false" outlineLevel="0" collapsed="false">
      <c r="A705" s="7" t="s">
        <v>2712</v>
      </c>
      <c r="B705" s="8" t="s">
        <v>2713</v>
      </c>
      <c r="C705" s="7" t="s">
        <v>961</v>
      </c>
      <c r="D705" s="7" t="s">
        <v>2424</v>
      </c>
      <c r="E705" s="8" t="s">
        <v>2714</v>
      </c>
      <c r="F705" s="8" t="s">
        <v>2715</v>
      </c>
      <c r="G705" s="7" t="s">
        <v>83</v>
      </c>
      <c r="H705" s="8"/>
      <c r="I705" s="9" t="s">
        <v>30</v>
      </c>
      <c r="J705" s="10"/>
      <c r="K705" s="9"/>
      <c r="L705" s="11"/>
    </row>
    <row r="706" customFormat="false" ht="46.25" hidden="false" customHeight="false" outlineLevel="0" collapsed="false">
      <c r="A706" s="7" t="s">
        <v>2716</v>
      </c>
      <c r="B706" s="8" t="s">
        <v>2717</v>
      </c>
      <c r="C706" s="7" t="s">
        <v>961</v>
      </c>
      <c r="D706" s="7" t="s">
        <v>2424</v>
      </c>
      <c r="E706" s="8" t="s">
        <v>2718</v>
      </c>
      <c r="F706" s="8" t="s">
        <v>2719</v>
      </c>
      <c r="G706" s="7" t="s">
        <v>83</v>
      </c>
      <c r="H706" s="8"/>
      <c r="I706" s="9" t="s">
        <v>30</v>
      </c>
      <c r="J706" s="10"/>
      <c r="K706" s="9"/>
      <c r="L706" s="11"/>
    </row>
    <row r="707" customFormat="false" ht="57.45" hidden="false" customHeight="false" outlineLevel="0" collapsed="false">
      <c r="A707" s="7" t="s">
        <v>2720</v>
      </c>
      <c r="B707" s="8" t="s">
        <v>2721</v>
      </c>
      <c r="C707" s="7" t="s">
        <v>961</v>
      </c>
      <c r="D707" s="7" t="s">
        <v>2424</v>
      </c>
      <c r="E707" s="8" t="s">
        <v>2722</v>
      </c>
      <c r="F707" s="8" t="s">
        <v>981</v>
      </c>
      <c r="G707" s="7" t="s">
        <v>83</v>
      </c>
      <c r="H707" s="8"/>
      <c r="I707" s="9" t="s">
        <v>30</v>
      </c>
      <c r="J707" s="10"/>
      <c r="K707" s="9"/>
      <c r="L707" s="11"/>
    </row>
    <row r="708" customFormat="false" ht="46.25" hidden="false" customHeight="false" outlineLevel="0" collapsed="false">
      <c r="A708" s="7" t="s">
        <v>2723</v>
      </c>
      <c r="B708" s="8" t="s">
        <v>2724</v>
      </c>
      <c r="C708" s="7" t="s">
        <v>999</v>
      </c>
      <c r="D708" s="7" t="s">
        <v>2424</v>
      </c>
      <c r="E708" s="8" t="s">
        <v>2725</v>
      </c>
      <c r="F708" s="8" t="s">
        <v>2726</v>
      </c>
      <c r="G708" s="7" t="s">
        <v>83</v>
      </c>
      <c r="H708" s="8"/>
      <c r="I708" s="9" t="s">
        <v>30</v>
      </c>
      <c r="J708" s="10"/>
      <c r="K708" s="9"/>
      <c r="L708" s="11"/>
    </row>
    <row r="709" customFormat="false" ht="35.05" hidden="false" customHeight="false" outlineLevel="0" collapsed="false">
      <c r="A709" s="7" t="s">
        <v>2727</v>
      </c>
      <c r="B709" s="8" t="s">
        <v>2728</v>
      </c>
      <c r="C709" s="7" t="s">
        <v>999</v>
      </c>
      <c r="D709" s="7" t="s">
        <v>2424</v>
      </c>
      <c r="E709" s="8" t="s">
        <v>2729</v>
      </c>
      <c r="F709" s="8" t="s">
        <v>2730</v>
      </c>
      <c r="G709" s="7" t="s">
        <v>83</v>
      </c>
      <c r="H709" s="8"/>
      <c r="I709" s="9" t="s">
        <v>30</v>
      </c>
      <c r="J709" s="10"/>
      <c r="K709" s="9"/>
      <c r="L709" s="11"/>
    </row>
    <row r="710" customFormat="false" ht="35.05" hidden="false" customHeight="false" outlineLevel="0" collapsed="false">
      <c r="A710" s="7" t="s">
        <v>2731</v>
      </c>
      <c r="B710" s="8" t="s">
        <v>2732</v>
      </c>
      <c r="C710" s="7" t="s">
        <v>999</v>
      </c>
      <c r="D710" s="7" t="s">
        <v>2424</v>
      </c>
      <c r="E710" s="8" t="s">
        <v>2733</v>
      </c>
      <c r="F710" s="8" t="s">
        <v>1008</v>
      </c>
      <c r="G710" s="7" t="s">
        <v>83</v>
      </c>
      <c r="H710" s="8"/>
      <c r="I710" s="9" t="s">
        <v>30</v>
      </c>
      <c r="J710" s="10"/>
      <c r="K710" s="9"/>
      <c r="L710" s="11"/>
    </row>
    <row r="711" customFormat="false" ht="46.25" hidden="false" customHeight="false" outlineLevel="0" collapsed="false">
      <c r="A711" s="7" t="s">
        <v>2734</v>
      </c>
      <c r="B711" s="8" t="s">
        <v>2735</v>
      </c>
      <c r="C711" s="7" t="s">
        <v>1032</v>
      </c>
      <c r="D711" s="7" t="s">
        <v>2424</v>
      </c>
      <c r="E711" s="8" t="s">
        <v>2736</v>
      </c>
      <c r="F711" s="8" t="s">
        <v>2737</v>
      </c>
      <c r="G711" s="7" t="s">
        <v>83</v>
      </c>
      <c r="H711" s="8"/>
      <c r="I711" s="9" t="s">
        <v>30</v>
      </c>
      <c r="J711" s="10"/>
      <c r="K711" s="9"/>
      <c r="L711" s="11"/>
    </row>
    <row r="712" customFormat="false" ht="46.25" hidden="false" customHeight="false" outlineLevel="0" collapsed="false">
      <c r="A712" s="7" t="s">
        <v>2738</v>
      </c>
      <c r="B712" s="8" t="s">
        <v>2739</v>
      </c>
      <c r="C712" s="7" t="s">
        <v>1032</v>
      </c>
      <c r="D712" s="7" t="s">
        <v>2424</v>
      </c>
      <c r="E712" s="8" t="s">
        <v>2740</v>
      </c>
      <c r="F712" s="8" t="s">
        <v>2741</v>
      </c>
      <c r="G712" s="7" t="s">
        <v>83</v>
      </c>
      <c r="H712" s="8"/>
      <c r="I712" s="9" t="s">
        <v>30</v>
      </c>
      <c r="J712" s="10"/>
      <c r="K712" s="9"/>
      <c r="L712" s="11"/>
    </row>
    <row r="713" customFormat="false" ht="46.25" hidden="false" customHeight="false" outlineLevel="0" collapsed="false">
      <c r="A713" s="7" t="s">
        <v>2742</v>
      </c>
      <c r="B713" s="8" t="s">
        <v>2743</v>
      </c>
      <c r="C713" s="7" t="s">
        <v>1032</v>
      </c>
      <c r="D713" s="7" t="s">
        <v>2424</v>
      </c>
      <c r="E713" s="8" t="s">
        <v>2744</v>
      </c>
      <c r="F713" s="8" t="s">
        <v>2745</v>
      </c>
      <c r="G713" s="7" t="s">
        <v>83</v>
      </c>
      <c r="H713" s="8"/>
      <c r="I713" s="9" t="s">
        <v>30</v>
      </c>
      <c r="J713" s="10"/>
      <c r="K713" s="9"/>
      <c r="L713" s="11"/>
    </row>
    <row r="714" customFormat="false" ht="46.25" hidden="false" customHeight="false" outlineLevel="0" collapsed="false">
      <c r="A714" s="7" t="s">
        <v>2746</v>
      </c>
      <c r="B714" s="8" t="s">
        <v>2747</v>
      </c>
      <c r="C714" s="7" t="s">
        <v>1067</v>
      </c>
      <c r="D714" s="7" t="s">
        <v>2424</v>
      </c>
      <c r="E714" s="8" t="s">
        <v>2748</v>
      </c>
      <c r="F714" s="8" t="s">
        <v>2749</v>
      </c>
      <c r="G714" s="7" t="s">
        <v>83</v>
      </c>
      <c r="H714" s="8"/>
      <c r="I714" s="9" t="s">
        <v>30</v>
      </c>
      <c r="J714" s="10"/>
      <c r="K714" s="9"/>
      <c r="L714" s="11"/>
    </row>
    <row r="715" customFormat="false" ht="46.25" hidden="false" customHeight="false" outlineLevel="0" collapsed="false">
      <c r="A715" s="7" t="s">
        <v>2750</v>
      </c>
      <c r="B715" s="8" t="s">
        <v>2751</v>
      </c>
      <c r="C715" s="7" t="s">
        <v>1067</v>
      </c>
      <c r="D715" s="7" t="s">
        <v>2424</v>
      </c>
      <c r="E715" s="8" t="s">
        <v>2752</v>
      </c>
      <c r="F715" s="8" t="s">
        <v>1079</v>
      </c>
      <c r="G715" s="7" t="s">
        <v>83</v>
      </c>
      <c r="H715" s="8"/>
      <c r="I715" s="9" t="s">
        <v>30</v>
      </c>
      <c r="J715" s="10"/>
      <c r="K715" s="9"/>
      <c r="L715" s="11"/>
    </row>
    <row r="716" customFormat="false" ht="46.25" hidden="false" customHeight="false" outlineLevel="0" collapsed="false">
      <c r="A716" s="7" t="s">
        <v>2753</v>
      </c>
      <c r="B716" s="8" t="s">
        <v>2754</v>
      </c>
      <c r="C716" s="7" t="s">
        <v>1067</v>
      </c>
      <c r="D716" s="7" t="s">
        <v>2424</v>
      </c>
      <c r="E716" s="8" t="s">
        <v>2755</v>
      </c>
      <c r="F716" s="8" t="s">
        <v>1083</v>
      </c>
      <c r="G716" s="7" t="s">
        <v>83</v>
      </c>
      <c r="H716" s="8"/>
      <c r="I716" s="9" t="s">
        <v>30</v>
      </c>
      <c r="J716" s="10"/>
      <c r="K716" s="9"/>
      <c r="L716" s="11"/>
    </row>
    <row r="717" customFormat="false" ht="46.25" hidden="false" customHeight="false" outlineLevel="0" collapsed="false">
      <c r="A717" s="7" t="s">
        <v>2756</v>
      </c>
      <c r="B717" s="8" t="s">
        <v>2757</v>
      </c>
      <c r="C717" s="7" t="s">
        <v>2019</v>
      </c>
      <c r="D717" s="7" t="s">
        <v>2424</v>
      </c>
      <c r="E717" s="8" t="s">
        <v>2758</v>
      </c>
      <c r="F717" s="8" t="s">
        <v>2036</v>
      </c>
      <c r="G717" s="7" t="s">
        <v>83</v>
      </c>
      <c r="H717" s="8" t="s">
        <v>2037</v>
      </c>
      <c r="I717" s="9" t="s">
        <v>30</v>
      </c>
      <c r="J717" s="10"/>
      <c r="K717" s="9"/>
      <c r="L717" s="11"/>
    </row>
    <row r="718" customFormat="false" ht="46.25" hidden="false" customHeight="false" outlineLevel="0" collapsed="false">
      <c r="A718" s="7" t="s">
        <v>2759</v>
      </c>
      <c r="B718" s="8" t="s">
        <v>2760</v>
      </c>
      <c r="C718" s="7" t="s">
        <v>2055</v>
      </c>
      <c r="D718" s="7" t="s">
        <v>2424</v>
      </c>
      <c r="E718" s="8" t="s">
        <v>2761</v>
      </c>
      <c r="F718" s="8" t="s">
        <v>2762</v>
      </c>
      <c r="G718" s="7" t="s">
        <v>83</v>
      </c>
      <c r="H718" s="8"/>
      <c r="I718" s="9" t="s">
        <v>30</v>
      </c>
      <c r="J718" s="10"/>
      <c r="K718" s="9"/>
      <c r="L718" s="11"/>
    </row>
    <row r="719" customFormat="false" ht="57.45" hidden="false" customHeight="false" outlineLevel="0" collapsed="false">
      <c r="A719" s="7" t="s">
        <v>2763</v>
      </c>
      <c r="B719" s="8" t="s">
        <v>2764</v>
      </c>
      <c r="C719" s="7" t="s">
        <v>2090</v>
      </c>
      <c r="D719" s="7" t="s">
        <v>2424</v>
      </c>
      <c r="E719" s="8" t="s">
        <v>2765</v>
      </c>
      <c r="F719" s="8" t="s">
        <v>2103</v>
      </c>
      <c r="G719" s="7" t="s">
        <v>83</v>
      </c>
      <c r="H719" s="8"/>
      <c r="I719" s="9" t="s">
        <v>30</v>
      </c>
      <c r="J719" s="10"/>
      <c r="K719" s="9"/>
      <c r="L719" s="11"/>
    </row>
    <row r="720" customFormat="false" ht="46.25" hidden="false" customHeight="false" outlineLevel="0" collapsed="false">
      <c r="A720" s="7" t="s">
        <v>2766</v>
      </c>
      <c r="B720" s="8" t="s">
        <v>2767</v>
      </c>
      <c r="C720" s="7" t="s">
        <v>2121</v>
      </c>
      <c r="D720" s="7" t="s">
        <v>2424</v>
      </c>
      <c r="E720" s="8" t="s">
        <v>2768</v>
      </c>
      <c r="F720" s="8" t="s">
        <v>2769</v>
      </c>
      <c r="G720" s="7" t="s">
        <v>83</v>
      </c>
      <c r="H720" s="8"/>
      <c r="I720" s="9" t="s">
        <v>30</v>
      </c>
      <c r="J720" s="10"/>
      <c r="K720" s="9"/>
      <c r="L720" s="11"/>
    </row>
    <row r="721" customFormat="false" ht="46.25" hidden="false" customHeight="false" outlineLevel="0" collapsed="false">
      <c r="A721" s="7" t="s">
        <v>2770</v>
      </c>
      <c r="B721" s="8" t="s">
        <v>2771</v>
      </c>
      <c r="C721" s="7" t="s">
        <v>2155</v>
      </c>
      <c r="D721" s="7" t="s">
        <v>2424</v>
      </c>
      <c r="E721" s="8" t="s">
        <v>2772</v>
      </c>
      <c r="F721" s="8" t="s">
        <v>302</v>
      </c>
      <c r="G721" s="7" t="s">
        <v>83</v>
      </c>
      <c r="H721" s="8"/>
      <c r="I721" s="9" t="s">
        <v>30</v>
      </c>
      <c r="J721" s="10"/>
      <c r="K721" s="9"/>
      <c r="L721" s="11"/>
    </row>
    <row r="722" customFormat="false" ht="46.25" hidden="false" customHeight="false" outlineLevel="0" collapsed="false">
      <c r="A722" s="7" t="s">
        <v>2773</v>
      </c>
      <c r="B722" s="8" t="s">
        <v>2774</v>
      </c>
      <c r="C722" s="7" t="s">
        <v>808</v>
      </c>
      <c r="D722" s="7" t="s">
        <v>2424</v>
      </c>
      <c r="E722" s="8" t="s">
        <v>2775</v>
      </c>
      <c r="F722" s="8" t="s">
        <v>2194</v>
      </c>
      <c r="G722" s="7" t="s">
        <v>83</v>
      </c>
      <c r="H722" s="8"/>
      <c r="I722" s="9" t="s">
        <v>30</v>
      </c>
      <c r="J722" s="10"/>
      <c r="K722" s="9"/>
      <c r="L722" s="11"/>
    </row>
    <row r="723" customFormat="false" ht="46.25" hidden="false" customHeight="false" outlineLevel="0" collapsed="false">
      <c r="A723" s="7" t="s">
        <v>2776</v>
      </c>
      <c r="B723" s="8" t="s">
        <v>2777</v>
      </c>
      <c r="C723" s="7" t="s">
        <v>2224</v>
      </c>
      <c r="D723" s="7" t="s">
        <v>2424</v>
      </c>
      <c r="E723" s="8" t="s">
        <v>2778</v>
      </c>
      <c r="F723" s="8" t="s">
        <v>2779</v>
      </c>
      <c r="G723" s="7" t="s">
        <v>83</v>
      </c>
      <c r="H723" s="8"/>
      <c r="I723" s="9" t="s">
        <v>30</v>
      </c>
      <c r="J723" s="10"/>
      <c r="K723" s="9"/>
      <c r="L723" s="11"/>
    </row>
    <row r="724" customFormat="false" ht="46.25" hidden="false" customHeight="false" outlineLevel="0" collapsed="false">
      <c r="A724" s="7" t="s">
        <v>2780</v>
      </c>
      <c r="B724" s="8" t="s">
        <v>2781</v>
      </c>
      <c r="C724" s="7" t="s">
        <v>2257</v>
      </c>
      <c r="D724" s="7" t="s">
        <v>2424</v>
      </c>
      <c r="E724" s="8" t="s">
        <v>2782</v>
      </c>
      <c r="F724" s="8" t="s">
        <v>2783</v>
      </c>
      <c r="G724" s="7" t="s">
        <v>83</v>
      </c>
      <c r="H724" s="8"/>
      <c r="I724" s="9" t="s">
        <v>30</v>
      </c>
      <c r="J724" s="10"/>
      <c r="K724" s="9"/>
      <c r="L724" s="11"/>
    </row>
    <row r="725" customFormat="false" ht="46.25" hidden="false" customHeight="false" outlineLevel="0" collapsed="false">
      <c r="A725" s="7" t="s">
        <v>2784</v>
      </c>
      <c r="B725" s="8" t="s">
        <v>2785</v>
      </c>
      <c r="C725" s="7" t="s">
        <v>2286</v>
      </c>
      <c r="D725" s="7" t="s">
        <v>2424</v>
      </c>
      <c r="E725" s="8" t="s">
        <v>2786</v>
      </c>
      <c r="F725" s="8" t="s">
        <v>2787</v>
      </c>
      <c r="G725" s="7" t="s">
        <v>83</v>
      </c>
      <c r="H725" s="8"/>
      <c r="I725" s="9" t="s">
        <v>30</v>
      </c>
      <c r="J725" s="10"/>
      <c r="K725" s="9"/>
      <c r="L725" s="11"/>
    </row>
    <row r="726" customFormat="false" ht="46.25" hidden="false" customHeight="false" outlineLevel="0" collapsed="false">
      <c r="A726" s="7" t="s">
        <v>2788</v>
      </c>
      <c r="B726" s="8" t="s">
        <v>2789</v>
      </c>
      <c r="C726" s="7" t="s">
        <v>2321</v>
      </c>
      <c r="D726" s="7" t="s">
        <v>2424</v>
      </c>
      <c r="E726" s="8" t="s">
        <v>2790</v>
      </c>
      <c r="F726" s="8" t="s">
        <v>2791</v>
      </c>
      <c r="G726" s="7" t="s">
        <v>83</v>
      </c>
      <c r="H726" s="8"/>
      <c r="I726" s="9" t="s">
        <v>30</v>
      </c>
      <c r="J726" s="10"/>
      <c r="K726" s="9"/>
      <c r="L726" s="11"/>
    </row>
    <row r="727" customFormat="false" ht="46.25" hidden="false" customHeight="false" outlineLevel="0" collapsed="false">
      <c r="A727" s="7" t="s">
        <v>2792</v>
      </c>
      <c r="B727" s="8" t="s">
        <v>2793</v>
      </c>
      <c r="C727" s="7" t="s">
        <v>2354</v>
      </c>
      <c r="D727" s="7" t="s">
        <v>2424</v>
      </c>
      <c r="E727" s="8" t="s">
        <v>2794</v>
      </c>
      <c r="F727" s="8" t="s">
        <v>2366</v>
      </c>
      <c r="G727" s="7" t="s">
        <v>83</v>
      </c>
      <c r="H727" s="8"/>
      <c r="I727" s="9" t="s">
        <v>30</v>
      </c>
      <c r="J727" s="10"/>
      <c r="K727" s="9"/>
      <c r="L727" s="11"/>
    </row>
    <row r="728" customFormat="false" ht="57.45" hidden="false" customHeight="false" outlineLevel="0" collapsed="false">
      <c r="A728" s="7" t="s">
        <v>2795</v>
      </c>
      <c r="B728" s="8" t="s">
        <v>2796</v>
      </c>
      <c r="C728" s="7" t="s">
        <v>2388</v>
      </c>
      <c r="D728" s="7" t="s">
        <v>2424</v>
      </c>
      <c r="E728" s="8" t="s">
        <v>2797</v>
      </c>
      <c r="F728" s="8" t="s">
        <v>2798</v>
      </c>
      <c r="G728" s="7" t="s">
        <v>83</v>
      </c>
      <c r="H728" s="8" t="s">
        <v>2402</v>
      </c>
      <c r="I728" s="9" t="s">
        <v>30</v>
      </c>
      <c r="J728" s="10"/>
      <c r="K728" s="9"/>
      <c r="L728" s="11"/>
    </row>
    <row r="729" customFormat="false" ht="35.05" hidden="false" customHeight="false" outlineLevel="0" collapsed="false">
      <c r="A729" s="7" t="s">
        <v>2799</v>
      </c>
      <c r="B729" s="8" t="s">
        <v>2800</v>
      </c>
      <c r="C729" s="7" t="s">
        <v>1104</v>
      </c>
      <c r="D729" s="7" t="s">
        <v>2424</v>
      </c>
      <c r="E729" s="8" t="s">
        <v>2801</v>
      </c>
      <c r="F729" s="8" t="s">
        <v>1109</v>
      </c>
      <c r="G729" s="7" t="s">
        <v>83</v>
      </c>
      <c r="H729" s="8"/>
      <c r="I729" s="9" t="s">
        <v>30</v>
      </c>
      <c r="J729" s="10"/>
      <c r="K729" s="9"/>
      <c r="L729" s="11"/>
    </row>
    <row r="730" customFormat="false" ht="46.25" hidden="false" customHeight="false" outlineLevel="0" collapsed="false">
      <c r="A730" s="7" t="s">
        <v>2802</v>
      </c>
      <c r="B730" s="8" t="s">
        <v>2803</v>
      </c>
      <c r="C730" s="7" t="s">
        <v>1139</v>
      </c>
      <c r="D730" s="7" t="s">
        <v>2424</v>
      </c>
      <c r="E730" s="8" t="s">
        <v>2804</v>
      </c>
      <c r="F730" s="8" t="s">
        <v>2805</v>
      </c>
      <c r="G730" s="7" t="s">
        <v>83</v>
      </c>
      <c r="H730" s="8"/>
      <c r="I730" s="9" t="s">
        <v>30</v>
      </c>
      <c r="J730" s="10"/>
      <c r="K730" s="9"/>
      <c r="L730" s="11"/>
    </row>
    <row r="731" customFormat="false" ht="46.25" hidden="false" customHeight="false" outlineLevel="0" collapsed="false">
      <c r="A731" s="7" t="s">
        <v>2806</v>
      </c>
      <c r="B731" s="8" t="s">
        <v>2807</v>
      </c>
      <c r="C731" s="7" t="s">
        <v>1177</v>
      </c>
      <c r="D731" s="7" t="s">
        <v>2424</v>
      </c>
      <c r="E731" s="8" t="s">
        <v>2808</v>
      </c>
      <c r="F731" s="8" t="s">
        <v>1186</v>
      </c>
      <c r="G731" s="7" t="s">
        <v>83</v>
      </c>
      <c r="H731" s="8"/>
      <c r="I731" s="9" t="s">
        <v>30</v>
      </c>
      <c r="J731" s="10"/>
      <c r="K731" s="9"/>
      <c r="L731" s="11"/>
    </row>
    <row r="732" customFormat="false" ht="46.25" hidden="false" customHeight="false" outlineLevel="0" collapsed="false">
      <c r="A732" s="7" t="s">
        <v>2809</v>
      </c>
      <c r="B732" s="8" t="s">
        <v>2810</v>
      </c>
      <c r="C732" s="7" t="s">
        <v>1212</v>
      </c>
      <c r="D732" s="7" t="s">
        <v>2424</v>
      </c>
      <c r="E732" s="8" t="s">
        <v>2811</v>
      </c>
      <c r="F732" s="8" t="s">
        <v>2812</v>
      </c>
      <c r="G732" s="7" t="s">
        <v>83</v>
      </c>
      <c r="H732" s="8"/>
      <c r="I732" s="9" t="s">
        <v>30</v>
      </c>
      <c r="J732" s="10"/>
      <c r="K732" s="9"/>
      <c r="L732" s="11"/>
    </row>
    <row r="733" customFormat="false" ht="46.25" hidden="false" customHeight="false" outlineLevel="0" collapsed="false">
      <c r="A733" s="7" t="s">
        <v>2813</v>
      </c>
      <c r="B733" s="8" t="s">
        <v>2814</v>
      </c>
      <c r="C733" s="7" t="s">
        <v>1252</v>
      </c>
      <c r="D733" s="7" t="s">
        <v>2424</v>
      </c>
      <c r="E733" s="8" t="s">
        <v>2815</v>
      </c>
      <c r="F733" s="8" t="s">
        <v>2816</v>
      </c>
      <c r="G733" s="7" t="s">
        <v>83</v>
      </c>
      <c r="H733" s="8"/>
      <c r="I733" s="9" t="s">
        <v>30</v>
      </c>
      <c r="J733" s="10"/>
      <c r="K733" s="9"/>
      <c r="L733" s="11"/>
    </row>
    <row r="734" customFormat="false" ht="46.25" hidden="false" customHeight="false" outlineLevel="0" collapsed="false">
      <c r="A734" s="7" t="s">
        <v>2817</v>
      </c>
      <c r="B734" s="8" t="s">
        <v>2818</v>
      </c>
      <c r="C734" s="7" t="s">
        <v>1289</v>
      </c>
      <c r="D734" s="7" t="s">
        <v>2424</v>
      </c>
      <c r="E734" s="8" t="s">
        <v>2819</v>
      </c>
      <c r="F734" s="8" t="s">
        <v>2820</v>
      </c>
      <c r="G734" s="7" t="s">
        <v>83</v>
      </c>
      <c r="H734" s="8"/>
      <c r="I734" s="9" t="s">
        <v>30</v>
      </c>
      <c r="J734" s="10"/>
      <c r="K734" s="9"/>
      <c r="L734" s="11"/>
    </row>
    <row r="735" customFormat="false" ht="46.25" hidden="false" customHeight="false" outlineLevel="0" collapsed="false">
      <c r="A735" s="7" t="s">
        <v>2821</v>
      </c>
      <c r="B735" s="8" t="s">
        <v>2822</v>
      </c>
      <c r="C735" s="7" t="s">
        <v>1322</v>
      </c>
      <c r="D735" s="7" t="s">
        <v>2424</v>
      </c>
      <c r="E735" s="8" t="s">
        <v>2823</v>
      </c>
      <c r="F735" s="8" t="s">
        <v>1331</v>
      </c>
      <c r="G735" s="7" t="s">
        <v>83</v>
      </c>
      <c r="H735" s="8"/>
      <c r="I735" s="9" t="s">
        <v>30</v>
      </c>
      <c r="J735" s="10"/>
      <c r="K735" s="9"/>
      <c r="L735" s="11"/>
    </row>
    <row r="736" customFormat="false" ht="46.25" hidden="false" customHeight="false" outlineLevel="0" collapsed="false">
      <c r="A736" s="7" t="s">
        <v>2824</v>
      </c>
      <c r="B736" s="8" t="s">
        <v>2825</v>
      </c>
      <c r="C736" s="7" t="s">
        <v>1354</v>
      </c>
      <c r="D736" s="7" t="s">
        <v>2424</v>
      </c>
      <c r="E736" s="8" t="s">
        <v>2826</v>
      </c>
      <c r="F736" s="8" t="s">
        <v>2827</v>
      </c>
      <c r="G736" s="7" t="s">
        <v>83</v>
      </c>
      <c r="H736" s="8"/>
      <c r="I736" s="9" t="s">
        <v>30</v>
      </c>
      <c r="J736" s="10"/>
      <c r="K736" s="9"/>
      <c r="L736" s="11"/>
    </row>
    <row r="737" customFormat="false" ht="46.25" hidden="false" customHeight="false" outlineLevel="0" collapsed="false">
      <c r="A737" s="7" t="s">
        <v>2828</v>
      </c>
      <c r="B737" s="8" t="s">
        <v>2829</v>
      </c>
      <c r="C737" s="7" t="s">
        <v>1389</v>
      </c>
      <c r="D737" s="7" t="s">
        <v>2424</v>
      </c>
      <c r="E737" s="8" t="s">
        <v>2830</v>
      </c>
      <c r="F737" s="8" t="s">
        <v>2831</v>
      </c>
      <c r="G737" s="7" t="s">
        <v>83</v>
      </c>
      <c r="H737" s="8"/>
      <c r="I737" s="9" t="s">
        <v>30</v>
      </c>
      <c r="J737" s="10"/>
      <c r="K737" s="9"/>
      <c r="L737" s="11"/>
    </row>
    <row r="738" customFormat="false" ht="46.25" hidden="false" customHeight="false" outlineLevel="0" collapsed="false">
      <c r="A738" s="7" t="s">
        <v>2832</v>
      </c>
      <c r="B738" s="8" t="s">
        <v>2833</v>
      </c>
      <c r="C738" s="7" t="s">
        <v>1423</v>
      </c>
      <c r="D738" s="7" t="s">
        <v>2424</v>
      </c>
      <c r="E738" s="8" t="s">
        <v>2834</v>
      </c>
      <c r="F738" s="8" t="s">
        <v>1435</v>
      </c>
      <c r="G738" s="7" t="s">
        <v>83</v>
      </c>
      <c r="H738" s="8"/>
      <c r="I738" s="9" t="s">
        <v>30</v>
      </c>
      <c r="J738" s="10"/>
      <c r="K738" s="9"/>
      <c r="L738" s="11"/>
    </row>
    <row r="739" customFormat="false" ht="46.25" hidden="false" customHeight="false" outlineLevel="0" collapsed="false">
      <c r="A739" s="7" t="s">
        <v>2835</v>
      </c>
      <c r="B739" s="8" t="s">
        <v>2836</v>
      </c>
      <c r="C739" s="7" t="s">
        <v>1460</v>
      </c>
      <c r="D739" s="7" t="s">
        <v>2424</v>
      </c>
      <c r="E739" s="8" t="s">
        <v>2837</v>
      </c>
      <c r="F739" s="8" t="s">
        <v>2838</v>
      </c>
      <c r="G739" s="7" t="s">
        <v>83</v>
      </c>
      <c r="H739" s="8"/>
      <c r="I739" s="9" t="s">
        <v>30</v>
      </c>
      <c r="J739" s="10"/>
      <c r="K739" s="9"/>
      <c r="L739" s="11"/>
    </row>
    <row r="740" customFormat="false" ht="46.25" hidden="false" customHeight="false" outlineLevel="0" collapsed="false">
      <c r="A740" s="7" t="s">
        <v>2839</v>
      </c>
      <c r="B740" s="8" t="s">
        <v>2840</v>
      </c>
      <c r="C740" s="7" t="s">
        <v>1495</v>
      </c>
      <c r="D740" s="7" t="s">
        <v>2424</v>
      </c>
      <c r="E740" s="8" t="s">
        <v>2841</v>
      </c>
      <c r="F740" s="8" t="s">
        <v>1508</v>
      </c>
      <c r="G740" s="7" t="s">
        <v>83</v>
      </c>
      <c r="H740" s="8"/>
      <c r="I740" s="9" t="s">
        <v>30</v>
      </c>
      <c r="J740" s="10"/>
      <c r="K740" s="9"/>
      <c r="L740" s="11"/>
    </row>
    <row r="741" customFormat="false" ht="57.45" hidden="false" customHeight="false" outlineLevel="0" collapsed="false">
      <c r="A741" s="7" t="s">
        <v>2842</v>
      </c>
      <c r="B741" s="8" t="s">
        <v>2843</v>
      </c>
      <c r="C741" s="7" t="s">
        <v>1139</v>
      </c>
      <c r="D741" s="7" t="s">
        <v>2424</v>
      </c>
      <c r="E741" s="8" t="s">
        <v>2844</v>
      </c>
      <c r="F741" s="8" t="s">
        <v>2845</v>
      </c>
      <c r="G741" s="7" t="s">
        <v>83</v>
      </c>
      <c r="H741" s="8"/>
      <c r="I741" s="9" t="s">
        <v>30</v>
      </c>
      <c r="J741" s="10"/>
      <c r="K741" s="9"/>
      <c r="L741" s="11"/>
    </row>
    <row r="742" customFormat="false" ht="57.45" hidden="false" customHeight="false" outlineLevel="0" collapsed="false">
      <c r="A742" s="7" t="s">
        <v>2846</v>
      </c>
      <c r="B742" s="8" t="s">
        <v>2847</v>
      </c>
      <c r="C742" s="7" t="s">
        <v>1526</v>
      </c>
      <c r="D742" s="7" t="s">
        <v>2424</v>
      </c>
      <c r="E742" s="8" t="s">
        <v>2848</v>
      </c>
      <c r="F742" s="8" t="s">
        <v>2849</v>
      </c>
      <c r="G742" s="7" t="s">
        <v>83</v>
      </c>
      <c r="H742" s="8" t="s">
        <v>1336</v>
      </c>
      <c r="I742" s="9" t="s">
        <v>30</v>
      </c>
      <c r="J742" s="10"/>
      <c r="K742" s="9"/>
      <c r="L742" s="11"/>
    </row>
    <row r="743" customFormat="false" ht="46.25" hidden="false" customHeight="false" outlineLevel="0" collapsed="false">
      <c r="A743" s="7" t="s">
        <v>2850</v>
      </c>
      <c r="B743" s="8" t="s">
        <v>2851</v>
      </c>
      <c r="C743" s="7" t="s">
        <v>1560</v>
      </c>
      <c r="D743" s="7" t="s">
        <v>2424</v>
      </c>
      <c r="E743" s="8" t="s">
        <v>2852</v>
      </c>
      <c r="F743" s="8" t="s">
        <v>2853</v>
      </c>
      <c r="G743" s="7" t="s">
        <v>83</v>
      </c>
      <c r="H743" s="8"/>
      <c r="I743" s="9" t="s">
        <v>30</v>
      </c>
      <c r="J743" s="10"/>
      <c r="K743" s="9"/>
      <c r="L743" s="11"/>
    </row>
    <row r="744" customFormat="false" ht="57.45" hidden="false" customHeight="false" outlineLevel="0" collapsed="false">
      <c r="A744" s="7" t="s">
        <v>2854</v>
      </c>
      <c r="B744" s="8" t="s">
        <v>2855</v>
      </c>
      <c r="C744" s="7" t="s">
        <v>1595</v>
      </c>
      <c r="D744" s="7" t="s">
        <v>2424</v>
      </c>
      <c r="E744" s="8" t="s">
        <v>2856</v>
      </c>
      <c r="F744" s="8" t="s">
        <v>1604</v>
      </c>
      <c r="G744" s="7" t="s">
        <v>83</v>
      </c>
      <c r="H744" s="8"/>
      <c r="I744" s="9" t="s">
        <v>30</v>
      </c>
      <c r="J744" s="10"/>
      <c r="K744" s="9"/>
      <c r="L744" s="11"/>
    </row>
    <row r="745" customFormat="false" ht="57.45" hidden="false" customHeight="false" outlineLevel="0" collapsed="false">
      <c r="A745" s="7" t="s">
        <v>2857</v>
      </c>
      <c r="B745" s="8" t="s">
        <v>2858</v>
      </c>
      <c r="C745" s="7" t="s">
        <v>1630</v>
      </c>
      <c r="D745" s="7" t="s">
        <v>2424</v>
      </c>
      <c r="E745" s="8" t="s">
        <v>2859</v>
      </c>
      <c r="F745" s="8" t="s">
        <v>2860</v>
      </c>
      <c r="G745" s="7" t="s">
        <v>83</v>
      </c>
      <c r="H745" s="8" t="s">
        <v>1336</v>
      </c>
      <c r="I745" s="9" t="s">
        <v>30</v>
      </c>
      <c r="J745" s="10"/>
      <c r="K745" s="9"/>
      <c r="L745" s="11"/>
    </row>
    <row r="746" customFormat="false" ht="57.45" hidden="false" customHeight="false" outlineLevel="0" collapsed="false">
      <c r="A746" s="7" t="s">
        <v>2861</v>
      </c>
      <c r="B746" s="8" t="s">
        <v>2862</v>
      </c>
      <c r="C746" s="7" t="s">
        <v>1663</v>
      </c>
      <c r="D746" s="7" t="s">
        <v>2424</v>
      </c>
      <c r="E746" s="8" t="s">
        <v>2863</v>
      </c>
      <c r="F746" s="8" t="s">
        <v>1671</v>
      </c>
      <c r="G746" s="7" t="s">
        <v>83</v>
      </c>
      <c r="H746" s="8"/>
      <c r="I746" s="9" t="s">
        <v>30</v>
      </c>
      <c r="J746" s="10"/>
      <c r="K746" s="9"/>
      <c r="L746" s="11"/>
    </row>
    <row r="747" customFormat="false" ht="57.45" hidden="false" customHeight="false" outlineLevel="0" collapsed="false">
      <c r="A747" s="7" t="s">
        <v>2864</v>
      </c>
      <c r="B747" s="8" t="s">
        <v>2865</v>
      </c>
      <c r="C747" s="7" t="s">
        <v>1663</v>
      </c>
      <c r="D747" s="7" t="s">
        <v>2424</v>
      </c>
      <c r="E747" s="8" t="s">
        <v>2866</v>
      </c>
      <c r="F747" s="8" t="s">
        <v>2867</v>
      </c>
      <c r="G747" s="7" t="s">
        <v>83</v>
      </c>
      <c r="H747" s="8" t="s">
        <v>1682</v>
      </c>
      <c r="I747" s="9" t="s">
        <v>30</v>
      </c>
      <c r="J747" s="10"/>
      <c r="K747" s="9"/>
      <c r="L747" s="11"/>
    </row>
    <row r="748" customFormat="false" ht="46.25" hidden="false" customHeight="false" outlineLevel="0" collapsed="false">
      <c r="A748" s="7" t="s">
        <v>2868</v>
      </c>
      <c r="B748" s="8" t="s">
        <v>2869</v>
      </c>
      <c r="C748" s="7" t="s">
        <v>1700</v>
      </c>
      <c r="D748" s="7" t="s">
        <v>2424</v>
      </c>
      <c r="E748" s="8" t="s">
        <v>2870</v>
      </c>
      <c r="F748" s="8" t="s">
        <v>1716</v>
      </c>
      <c r="G748" s="7" t="s">
        <v>83</v>
      </c>
      <c r="H748" s="8"/>
      <c r="I748" s="9" t="s">
        <v>30</v>
      </c>
      <c r="J748" s="10"/>
      <c r="K748" s="9"/>
      <c r="L748" s="11"/>
    </row>
    <row r="749" customFormat="false" ht="57.45" hidden="false" customHeight="false" outlineLevel="0" collapsed="false">
      <c r="A749" s="7" t="s">
        <v>2871</v>
      </c>
      <c r="B749" s="8" t="s">
        <v>2872</v>
      </c>
      <c r="C749" s="7" t="s">
        <v>1734</v>
      </c>
      <c r="D749" s="7" t="s">
        <v>2424</v>
      </c>
      <c r="E749" s="8" t="s">
        <v>2873</v>
      </c>
      <c r="F749" s="8" t="s">
        <v>2874</v>
      </c>
      <c r="G749" s="7" t="s">
        <v>83</v>
      </c>
      <c r="H749" s="8"/>
      <c r="I749" s="9" t="s">
        <v>30</v>
      </c>
      <c r="J749" s="10"/>
      <c r="K749" s="9"/>
      <c r="L749" s="11"/>
    </row>
    <row r="750" customFormat="false" ht="46.25" hidden="false" customHeight="false" outlineLevel="0" collapsed="false">
      <c r="A750" s="7" t="s">
        <v>2875</v>
      </c>
      <c r="B750" s="8" t="s">
        <v>2876</v>
      </c>
      <c r="C750" s="7" t="s">
        <v>1772</v>
      </c>
      <c r="D750" s="7" t="s">
        <v>2424</v>
      </c>
      <c r="E750" s="8" t="s">
        <v>2877</v>
      </c>
      <c r="F750" s="8" t="s">
        <v>2878</v>
      </c>
      <c r="G750" s="7" t="s">
        <v>83</v>
      </c>
      <c r="H750" s="8"/>
      <c r="I750" s="9" t="s">
        <v>30</v>
      </c>
      <c r="J750" s="10"/>
      <c r="K750" s="9"/>
      <c r="L750" s="11"/>
    </row>
    <row r="751" customFormat="false" ht="46.25" hidden="false" customHeight="false" outlineLevel="0" collapsed="false">
      <c r="A751" s="7" t="s">
        <v>2879</v>
      </c>
      <c r="B751" s="8" t="s">
        <v>2880</v>
      </c>
      <c r="C751" s="7" t="s">
        <v>1807</v>
      </c>
      <c r="D751" s="7" t="s">
        <v>2424</v>
      </c>
      <c r="E751" s="8" t="s">
        <v>2881</v>
      </c>
      <c r="F751" s="8" t="s">
        <v>2882</v>
      </c>
      <c r="G751" s="7" t="s">
        <v>83</v>
      </c>
      <c r="H751" s="8"/>
      <c r="I751" s="9" t="s">
        <v>30</v>
      </c>
      <c r="J751" s="10"/>
      <c r="K751" s="9"/>
      <c r="L751" s="11"/>
    </row>
    <row r="752" customFormat="false" ht="46.25" hidden="false" customHeight="false" outlineLevel="0" collapsed="false">
      <c r="A752" s="7" t="s">
        <v>2883</v>
      </c>
      <c r="B752" s="8" t="s">
        <v>2884</v>
      </c>
      <c r="C752" s="7" t="s">
        <v>1842</v>
      </c>
      <c r="D752" s="7" t="s">
        <v>2424</v>
      </c>
      <c r="E752" s="8" t="s">
        <v>2885</v>
      </c>
      <c r="F752" s="8" t="s">
        <v>2886</v>
      </c>
      <c r="G752" s="7" t="s">
        <v>83</v>
      </c>
      <c r="H752" s="8"/>
      <c r="I752" s="9" t="s">
        <v>30</v>
      </c>
      <c r="J752" s="10"/>
      <c r="K752" s="9"/>
      <c r="L752" s="11"/>
    </row>
    <row r="753" customFormat="false" ht="46.25" hidden="false" customHeight="false" outlineLevel="0" collapsed="false">
      <c r="A753" s="7" t="s">
        <v>2887</v>
      </c>
      <c r="B753" s="8" t="s">
        <v>2888</v>
      </c>
      <c r="C753" s="7" t="s">
        <v>1878</v>
      </c>
      <c r="D753" s="7" t="s">
        <v>2424</v>
      </c>
      <c r="E753" s="8" t="s">
        <v>2889</v>
      </c>
      <c r="F753" s="8" t="s">
        <v>1891</v>
      </c>
      <c r="G753" s="7" t="s">
        <v>83</v>
      </c>
      <c r="H753" s="8" t="s">
        <v>1887</v>
      </c>
      <c r="I753" s="9" t="s">
        <v>30</v>
      </c>
      <c r="J753" s="10"/>
      <c r="K753" s="9"/>
      <c r="L753" s="11"/>
    </row>
    <row r="754" customFormat="false" ht="57.45" hidden="false" customHeight="false" outlineLevel="0" collapsed="false">
      <c r="A754" s="7" t="s">
        <v>2890</v>
      </c>
      <c r="B754" s="8" t="s">
        <v>2891</v>
      </c>
      <c r="C754" s="7" t="s">
        <v>1916</v>
      </c>
      <c r="D754" s="7" t="s">
        <v>2424</v>
      </c>
      <c r="E754" s="8" t="s">
        <v>2892</v>
      </c>
      <c r="F754" s="8" t="s">
        <v>2893</v>
      </c>
      <c r="G754" s="7" t="s">
        <v>83</v>
      </c>
      <c r="H754" s="8"/>
      <c r="I754" s="9" t="s">
        <v>30</v>
      </c>
      <c r="J754" s="10"/>
      <c r="K754" s="9"/>
      <c r="L754" s="11"/>
    </row>
    <row r="755" customFormat="false" ht="46.25" hidden="false" customHeight="false" outlineLevel="0" collapsed="false">
      <c r="A755" s="7" t="s">
        <v>2894</v>
      </c>
      <c r="B755" s="8" t="s">
        <v>2895</v>
      </c>
      <c r="C755" s="7" t="s">
        <v>1951</v>
      </c>
      <c r="D755" s="7" t="s">
        <v>2424</v>
      </c>
      <c r="E755" s="8" t="s">
        <v>2896</v>
      </c>
      <c r="F755" s="8" t="s">
        <v>2897</v>
      </c>
      <c r="G755" s="7" t="s">
        <v>83</v>
      </c>
      <c r="H755" s="8" t="s">
        <v>2898</v>
      </c>
      <c r="I755" s="9" t="s">
        <v>30</v>
      </c>
      <c r="J755" s="10"/>
      <c r="K755" s="9"/>
      <c r="L755" s="11"/>
    </row>
    <row r="756" customFormat="false" ht="46.25" hidden="false" customHeight="false" outlineLevel="0" collapsed="false">
      <c r="A756" s="7" t="s">
        <v>2899</v>
      </c>
      <c r="B756" s="8" t="s">
        <v>2900</v>
      </c>
      <c r="C756" s="7" t="s">
        <v>1986</v>
      </c>
      <c r="D756" s="7" t="s">
        <v>2424</v>
      </c>
      <c r="E756" s="8" t="s">
        <v>2901</v>
      </c>
      <c r="F756" s="8" t="s">
        <v>1995</v>
      </c>
      <c r="G756" s="7" t="s">
        <v>83</v>
      </c>
      <c r="H756" s="8"/>
      <c r="I756" s="9" t="s">
        <v>30</v>
      </c>
      <c r="J756" s="10"/>
      <c r="K756" s="9"/>
      <c r="L756" s="11"/>
    </row>
    <row r="757" customFormat="false" ht="68.65" hidden="false" customHeight="false" outlineLevel="0" collapsed="false">
      <c r="A757" s="7" t="s">
        <v>2902</v>
      </c>
      <c r="B757" s="8" t="s">
        <v>2903</v>
      </c>
      <c r="C757" s="7" t="s">
        <v>136</v>
      </c>
      <c r="D757" s="7" t="s">
        <v>2904</v>
      </c>
      <c r="E757" s="8" t="s">
        <v>2905</v>
      </c>
      <c r="F757" s="8" t="s">
        <v>2906</v>
      </c>
      <c r="G757" s="7" t="s">
        <v>83</v>
      </c>
      <c r="H757" s="8"/>
      <c r="I757" s="9" t="s">
        <v>30</v>
      </c>
      <c r="J757" s="10"/>
      <c r="K757" s="9"/>
      <c r="L757" s="11"/>
    </row>
    <row r="758" customFormat="false" ht="57.45" hidden="false" customHeight="false" outlineLevel="0" collapsed="false">
      <c r="A758" s="7" t="s">
        <v>2907</v>
      </c>
      <c r="B758" s="8" t="s">
        <v>2908</v>
      </c>
      <c r="C758" s="7" t="s">
        <v>54</v>
      </c>
      <c r="D758" s="7" t="s">
        <v>2904</v>
      </c>
      <c r="E758" s="8" t="s">
        <v>2909</v>
      </c>
      <c r="F758" s="8" t="s">
        <v>2910</v>
      </c>
      <c r="G758" s="7" t="s">
        <v>83</v>
      </c>
      <c r="H758" s="8"/>
      <c r="I758" s="9" t="s">
        <v>30</v>
      </c>
      <c r="J758" s="10"/>
      <c r="K758" s="9"/>
      <c r="L758" s="11"/>
    </row>
    <row r="759" customFormat="false" ht="57.45" hidden="false" customHeight="false" outlineLevel="0" collapsed="false">
      <c r="A759" s="7" t="s">
        <v>2911</v>
      </c>
      <c r="B759" s="8" t="s">
        <v>2912</v>
      </c>
      <c r="C759" s="7" t="s">
        <v>178</v>
      </c>
      <c r="D759" s="7" t="s">
        <v>2904</v>
      </c>
      <c r="E759" s="8" t="s">
        <v>2913</v>
      </c>
      <c r="F759" s="8" t="s">
        <v>2914</v>
      </c>
      <c r="G759" s="7" t="s">
        <v>83</v>
      </c>
      <c r="H759" s="8"/>
      <c r="I759" s="9" t="s">
        <v>30</v>
      </c>
      <c r="J759" s="10"/>
      <c r="K759" s="9"/>
      <c r="L759" s="11"/>
    </row>
    <row r="760" customFormat="false" ht="57.45" hidden="false" customHeight="false" outlineLevel="0" collapsed="false">
      <c r="A760" s="7" t="s">
        <v>2915</v>
      </c>
      <c r="B760" s="8" t="s">
        <v>2916</v>
      </c>
      <c r="C760" s="7" t="s">
        <v>2917</v>
      </c>
      <c r="D760" s="7" t="s">
        <v>2904</v>
      </c>
      <c r="E760" s="8" t="s">
        <v>2918</v>
      </c>
      <c r="F760" s="8" t="s">
        <v>2919</v>
      </c>
      <c r="G760" s="7" t="s">
        <v>83</v>
      </c>
      <c r="H760" s="8"/>
      <c r="I760" s="9" t="s">
        <v>30</v>
      </c>
      <c r="J760" s="10"/>
      <c r="K760" s="9"/>
      <c r="L760" s="11"/>
    </row>
    <row r="761" customFormat="false" ht="57.45" hidden="false" customHeight="false" outlineLevel="0" collapsed="false">
      <c r="A761" s="7" t="s">
        <v>2920</v>
      </c>
      <c r="B761" s="8" t="s">
        <v>2921</v>
      </c>
      <c r="C761" s="7" t="s">
        <v>293</v>
      </c>
      <c r="D761" s="7" t="s">
        <v>2904</v>
      </c>
      <c r="E761" s="8" t="s">
        <v>2922</v>
      </c>
      <c r="F761" s="8" t="s">
        <v>302</v>
      </c>
      <c r="G761" s="7" t="s">
        <v>83</v>
      </c>
      <c r="H761" s="8"/>
      <c r="I761" s="9" t="s">
        <v>30</v>
      </c>
      <c r="J761" s="10"/>
      <c r="K761" s="9"/>
      <c r="L761" s="11"/>
    </row>
    <row r="762" customFormat="false" ht="57.45" hidden="false" customHeight="false" outlineLevel="0" collapsed="false">
      <c r="A762" s="7" t="s">
        <v>2923</v>
      </c>
      <c r="B762" s="8" t="s">
        <v>2924</v>
      </c>
      <c r="C762" s="7" t="s">
        <v>2925</v>
      </c>
      <c r="D762" s="7" t="s">
        <v>2926</v>
      </c>
      <c r="E762" s="8" t="s">
        <v>2927</v>
      </c>
      <c r="F762" s="8" t="s">
        <v>2928</v>
      </c>
      <c r="G762" s="7" t="s">
        <v>83</v>
      </c>
      <c r="H762" s="8"/>
      <c r="I762" s="9" t="s">
        <v>30</v>
      </c>
      <c r="J762" s="10"/>
      <c r="K762" s="9"/>
      <c r="L762" s="11"/>
    </row>
    <row r="763" customFormat="false" ht="57.45" hidden="false" customHeight="false" outlineLevel="0" collapsed="false">
      <c r="A763" s="7" t="s">
        <v>2929</v>
      </c>
      <c r="B763" s="8" t="s">
        <v>2930</v>
      </c>
      <c r="C763" s="7" t="s">
        <v>2925</v>
      </c>
      <c r="D763" s="7" t="s">
        <v>2926</v>
      </c>
      <c r="E763" s="8" t="s">
        <v>2931</v>
      </c>
      <c r="F763" s="8" t="s">
        <v>2932</v>
      </c>
      <c r="G763" s="7" t="s">
        <v>83</v>
      </c>
      <c r="H763" s="8"/>
      <c r="I763" s="9" t="s">
        <v>30</v>
      </c>
      <c r="J763" s="10"/>
      <c r="K763" s="9"/>
      <c r="L763" s="11"/>
    </row>
    <row r="764" customFormat="false" ht="57.45" hidden="false" customHeight="false" outlineLevel="0" collapsed="false">
      <c r="A764" s="7" t="s">
        <v>2933</v>
      </c>
      <c r="B764" s="8" t="s">
        <v>2934</v>
      </c>
      <c r="C764" s="7" t="s">
        <v>2935</v>
      </c>
      <c r="D764" s="7" t="s">
        <v>2926</v>
      </c>
      <c r="E764" s="8" t="s">
        <v>2936</v>
      </c>
      <c r="F764" s="8" t="s">
        <v>2937</v>
      </c>
      <c r="G764" s="7" t="s">
        <v>83</v>
      </c>
      <c r="H764" s="8"/>
      <c r="I764" s="9" t="s">
        <v>30</v>
      </c>
      <c r="J764" s="10"/>
      <c r="K764" s="9"/>
      <c r="L764" s="11"/>
    </row>
    <row r="765" customFormat="false" ht="46.25" hidden="false" customHeight="false" outlineLevel="0" collapsed="false">
      <c r="A765" s="7" t="s">
        <v>2938</v>
      </c>
      <c r="B765" s="8" t="s">
        <v>2939</v>
      </c>
      <c r="C765" s="7" t="s">
        <v>2935</v>
      </c>
      <c r="D765" s="7" t="s">
        <v>2926</v>
      </c>
      <c r="E765" s="8" t="s">
        <v>2940</v>
      </c>
      <c r="F765" s="8" t="s">
        <v>2941</v>
      </c>
      <c r="G765" s="7" t="s">
        <v>83</v>
      </c>
      <c r="H765" s="8"/>
      <c r="I765" s="9" t="s">
        <v>30</v>
      </c>
      <c r="J765" s="10"/>
      <c r="K765" s="9"/>
      <c r="L765" s="11"/>
    </row>
    <row r="766" customFormat="false" ht="46.25" hidden="false" customHeight="false" outlineLevel="0" collapsed="false">
      <c r="A766" s="7" t="s">
        <v>2942</v>
      </c>
      <c r="B766" s="8" t="s">
        <v>2943</v>
      </c>
      <c r="C766" s="7" t="s">
        <v>2935</v>
      </c>
      <c r="D766" s="7" t="s">
        <v>2926</v>
      </c>
      <c r="E766" s="8" t="s">
        <v>2944</v>
      </c>
      <c r="F766" s="8" t="s">
        <v>2945</v>
      </c>
      <c r="G766" s="7" t="s">
        <v>83</v>
      </c>
      <c r="H766" s="8"/>
      <c r="I766" s="9" t="s">
        <v>30</v>
      </c>
      <c r="J766" s="10"/>
      <c r="K766" s="9"/>
      <c r="L766" s="11"/>
    </row>
    <row r="767" customFormat="false" ht="23.85" hidden="false" customHeight="false" outlineLevel="0" collapsed="false">
      <c r="A767" s="7" t="s">
        <v>2946</v>
      </c>
      <c r="B767" s="8" t="s">
        <v>2947</v>
      </c>
      <c r="C767" s="7" t="s">
        <v>2948</v>
      </c>
      <c r="D767" s="7" t="s">
        <v>2949</v>
      </c>
      <c r="E767" s="8" t="s">
        <v>2950</v>
      </c>
      <c r="F767" s="8" t="s">
        <v>2951</v>
      </c>
      <c r="G767" s="7" t="s">
        <v>29</v>
      </c>
      <c r="H767" s="8"/>
      <c r="I767" s="9" t="s">
        <v>30</v>
      </c>
      <c r="J767" s="10"/>
      <c r="K767" s="9"/>
      <c r="L767" s="11"/>
    </row>
    <row r="768" customFormat="false" ht="23.85" hidden="false" customHeight="false" outlineLevel="0" collapsed="false">
      <c r="A768" s="7" t="s">
        <v>2952</v>
      </c>
      <c r="B768" s="8" t="s">
        <v>2953</v>
      </c>
      <c r="C768" s="7" t="s">
        <v>2948</v>
      </c>
      <c r="D768" s="7" t="s">
        <v>2949</v>
      </c>
      <c r="E768" s="8" t="s">
        <v>2954</v>
      </c>
      <c r="F768" s="8" t="s">
        <v>2951</v>
      </c>
      <c r="G768" s="7" t="s">
        <v>29</v>
      </c>
      <c r="H768" s="8"/>
      <c r="I768" s="9" t="s">
        <v>30</v>
      </c>
      <c r="J768" s="10"/>
      <c r="K768" s="9"/>
      <c r="L768" s="11"/>
    </row>
    <row r="769" customFormat="false" ht="23.85" hidden="false" customHeight="false" outlineLevel="0" collapsed="false">
      <c r="A769" s="7" t="s">
        <v>2955</v>
      </c>
      <c r="B769" s="8" t="s">
        <v>2956</v>
      </c>
      <c r="C769" s="7" t="s">
        <v>2948</v>
      </c>
      <c r="D769" s="7" t="s">
        <v>2949</v>
      </c>
      <c r="E769" s="8" t="s">
        <v>2957</v>
      </c>
      <c r="F769" s="8" t="s">
        <v>2951</v>
      </c>
      <c r="G769" s="7" t="s">
        <v>29</v>
      </c>
      <c r="H769" s="8"/>
      <c r="I769" s="9" t="s">
        <v>30</v>
      </c>
      <c r="J769" s="10"/>
      <c r="K769" s="9"/>
      <c r="L769" s="11"/>
    </row>
    <row r="770" customFormat="false" ht="23.85" hidden="false" customHeight="false" outlineLevel="0" collapsed="false">
      <c r="A770" s="7" t="s">
        <v>2958</v>
      </c>
      <c r="B770" s="8" t="s">
        <v>2959</v>
      </c>
      <c r="C770" s="7" t="s">
        <v>2948</v>
      </c>
      <c r="D770" s="7" t="s">
        <v>2949</v>
      </c>
      <c r="E770" s="8" t="s">
        <v>2960</v>
      </c>
      <c r="F770" s="8" t="s">
        <v>2961</v>
      </c>
      <c r="G770" s="7" t="s">
        <v>29</v>
      </c>
      <c r="H770" s="8"/>
      <c r="I770" s="9" t="s">
        <v>30</v>
      </c>
      <c r="J770" s="10"/>
      <c r="K770" s="9"/>
      <c r="L770" s="11"/>
    </row>
    <row r="771" customFormat="false" ht="23.85" hidden="false" customHeight="false" outlineLevel="0" collapsed="false">
      <c r="A771" s="7" t="s">
        <v>2962</v>
      </c>
      <c r="B771" s="8" t="s">
        <v>2963</v>
      </c>
      <c r="C771" s="7" t="s">
        <v>2948</v>
      </c>
      <c r="D771" s="7" t="s">
        <v>2949</v>
      </c>
      <c r="E771" s="8" t="s">
        <v>2964</v>
      </c>
      <c r="F771" s="8" t="s">
        <v>2961</v>
      </c>
      <c r="G771" s="7" t="s">
        <v>29</v>
      </c>
      <c r="H771" s="8"/>
      <c r="I771" s="9" t="s">
        <v>30</v>
      </c>
      <c r="J771" s="10"/>
      <c r="K771" s="9"/>
      <c r="L771" s="11"/>
    </row>
    <row r="772" customFormat="false" ht="23.85" hidden="false" customHeight="false" outlineLevel="0" collapsed="false">
      <c r="A772" s="7" t="s">
        <v>2965</v>
      </c>
      <c r="B772" s="8" t="s">
        <v>2966</v>
      </c>
      <c r="C772" s="7" t="s">
        <v>2948</v>
      </c>
      <c r="D772" s="7" t="s">
        <v>2949</v>
      </c>
      <c r="E772" s="8" t="s">
        <v>2967</v>
      </c>
      <c r="F772" s="8" t="s">
        <v>2961</v>
      </c>
      <c r="G772" s="7" t="s">
        <v>29</v>
      </c>
      <c r="H772" s="8"/>
      <c r="I772" s="9" t="s">
        <v>30</v>
      </c>
      <c r="J772" s="10"/>
      <c r="K772" s="9"/>
      <c r="L772" s="11"/>
    </row>
    <row r="773" customFormat="false" ht="23.85" hidden="false" customHeight="false" outlineLevel="0" collapsed="false">
      <c r="A773" s="7" t="s">
        <v>2968</v>
      </c>
      <c r="B773" s="8" t="s">
        <v>2969</v>
      </c>
      <c r="C773" s="7" t="s">
        <v>2948</v>
      </c>
      <c r="D773" s="7" t="s">
        <v>2949</v>
      </c>
      <c r="E773" s="8" t="s">
        <v>2970</v>
      </c>
      <c r="F773" s="8" t="s">
        <v>2971</v>
      </c>
      <c r="G773" s="7" t="s">
        <v>29</v>
      </c>
      <c r="H773" s="8"/>
      <c r="I773" s="9" t="s">
        <v>30</v>
      </c>
      <c r="J773" s="10"/>
      <c r="K773" s="9"/>
      <c r="L773" s="11"/>
    </row>
    <row r="774" customFormat="false" ht="23.85" hidden="false" customHeight="false" outlineLevel="0" collapsed="false">
      <c r="A774" s="7" t="s">
        <v>2972</v>
      </c>
      <c r="B774" s="8" t="s">
        <v>2973</v>
      </c>
      <c r="C774" s="7" t="s">
        <v>2948</v>
      </c>
      <c r="D774" s="7" t="s">
        <v>2949</v>
      </c>
      <c r="E774" s="8" t="s">
        <v>2974</v>
      </c>
      <c r="F774" s="8" t="s">
        <v>2971</v>
      </c>
      <c r="G774" s="7" t="s">
        <v>29</v>
      </c>
      <c r="H774" s="8"/>
      <c r="I774" s="9" t="s">
        <v>30</v>
      </c>
      <c r="J774" s="10"/>
      <c r="K774" s="9"/>
      <c r="L774" s="11"/>
    </row>
    <row r="775" customFormat="false" ht="23.85" hidden="false" customHeight="false" outlineLevel="0" collapsed="false">
      <c r="A775" s="7" t="s">
        <v>2975</v>
      </c>
      <c r="B775" s="8" t="s">
        <v>2976</v>
      </c>
      <c r="C775" s="7" t="s">
        <v>2948</v>
      </c>
      <c r="D775" s="7" t="s">
        <v>2949</v>
      </c>
      <c r="E775" s="8" t="s">
        <v>2977</v>
      </c>
      <c r="F775" s="8" t="s">
        <v>2971</v>
      </c>
      <c r="G775" s="7" t="s">
        <v>29</v>
      </c>
      <c r="H775" s="8"/>
      <c r="I775" s="9" t="s">
        <v>30</v>
      </c>
      <c r="J775" s="10"/>
      <c r="K775" s="9"/>
      <c r="L775" s="11"/>
    </row>
    <row r="776" customFormat="false" ht="23.85" hidden="false" customHeight="false" outlineLevel="0" collapsed="false">
      <c r="A776" s="7" t="s">
        <v>2978</v>
      </c>
      <c r="B776" s="8" t="s">
        <v>2979</v>
      </c>
      <c r="C776" s="7" t="s">
        <v>2948</v>
      </c>
      <c r="D776" s="7" t="s">
        <v>2949</v>
      </c>
      <c r="E776" s="8" t="s">
        <v>2980</v>
      </c>
      <c r="F776" s="8" t="s">
        <v>2981</v>
      </c>
      <c r="G776" s="7" t="s">
        <v>29</v>
      </c>
      <c r="H776" s="8"/>
      <c r="I776" s="9" t="s">
        <v>30</v>
      </c>
      <c r="J776" s="10"/>
      <c r="K776" s="9"/>
      <c r="L776" s="11"/>
    </row>
    <row r="777" customFormat="false" ht="23.85" hidden="false" customHeight="false" outlineLevel="0" collapsed="false">
      <c r="A777" s="7" t="s">
        <v>2982</v>
      </c>
      <c r="B777" s="8" t="s">
        <v>2983</v>
      </c>
      <c r="C777" s="7" t="s">
        <v>2948</v>
      </c>
      <c r="D777" s="7" t="s">
        <v>2949</v>
      </c>
      <c r="E777" s="8" t="s">
        <v>2984</v>
      </c>
      <c r="F777" s="8" t="s">
        <v>2981</v>
      </c>
      <c r="G777" s="7" t="s">
        <v>29</v>
      </c>
      <c r="H777" s="8"/>
      <c r="I777" s="9" t="s">
        <v>30</v>
      </c>
      <c r="J777" s="10"/>
      <c r="K777" s="9"/>
      <c r="L777" s="11"/>
    </row>
    <row r="778" customFormat="false" ht="23.85" hidden="false" customHeight="false" outlineLevel="0" collapsed="false">
      <c r="A778" s="7" t="s">
        <v>2985</v>
      </c>
      <c r="B778" s="8" t="s">
        <v>2986</v>
      </c>
      <c r="C778" s="7" t="s">
        <v>2948</v>
      </c>
      <c r="D778" s="7" t="s">
        <v>2949</v>
      </c>
      <c r="E778" s="8" t="s">
        <v>2987</v>
      </c>
      <c r="F778" s="8" t="s">
        <v>2981</v>
      </c>
      <c r="G778" s="7" t="s">
        <v>29</v>
      </c>
      <c r="H778" s="8"/>
      <c r="I778" s="9" t="s">
        <v>30</v>
      </c>
      <c r="J778" s="10"/>
      <c r="K778" s="9"/>
      <c r="L778" s="11"/>
    </row>
    <row r="779" customFormat="false" ht="23.85" hidden="false" customHeight="false" outlineLevel="0" collapsed="false">
      <c r="A779" s="7" t="s">
        <v>2988</v>
      </c>
      <c r="B779" s="8" t="s">
        <v>2989</v>
      </c>
      <c r="C779" s="7" t="s">
        <v>2948</v>
      </c>
      <c r="D779" s="7" t="s">
        <v>2949</v>
      </c>
      <c r="E779" s="8" t="s">
        <v>2990</v>
      </c>
      <c r="F779" s="8" t="s">
        <v>2991</v>
      </c>
      <c r="G779" s="7" t="s">
        <v>29</v>
      </c>
      <c r="H779" s="8"/>
      <c r="I779" s="9" t="s">
        <v>30</v>
      </c>
      <c r="J779" s="10"/>
      <c r="K779" s="9"/>
      <c r="L779" s="11"/>
    </row>
    <row r="780" customFormat="false" ht="23.85" hidden="false" customHeight="false" outlineLevel="0" collapsed="false">
      <c r="A780" s="7" t="s">
        <v>2992</v>
      </c>
      <c r="B780" s="8" t="s">
        <v>2993</v>
      </c>
      <c r="C780" s="7" t="s">
        <v>2948</v>
      </c>
      <c r="D780" s="7" t="s">
        <v>2949</v>
      </c>
      <c r="E780" s="8" t="s">
        <v>2994</v>
      </c>
      <c r="F780" s="8" t="s">
        <v>2991</v>
      </c>
      <c r="G780" s="7" t="s">
        <v>29</v>
      </c>
      <c r="H780" s="8"/>
      <c r="I780" s="9" t="s">
        <v>30</v>
      </c>
      <c r="J780" s="10"/>
      <c r="K780" s="9"/>
      <c r="L780" s="11"/>
    </row>
    <row r="781" customFormat="false" ht="23.85" hidden="false" customHeight="false" outlineLevel="0" collapsed="false">
      <c r="A781" s="7" t="s">
        <v>2995</v>
      </c>
      <c r="B781" s="8" t="s">
        <v>2996</v>
      </c>
      <c r="C781" s="7" t="s">
        <v>2948</v>
      </c>
      <c r="D781" s="7" t="s">
        <v>2949</v>
      </c>
      <c r="E781" s="8" t="s">
        <v>2997</v>
      </c>
      <c r="F781" s="8" t="s">
        <v>2991</v>
      </c>
      <c r="G781" s="7" t="s">
        <v>29</v>
      </c>
      <c r="H781" s="8"/>
      <c r="I781" s="9" t="s">
        <v>30</v>
      </c>
      <c r="J781" s="10"/>
      <c r="K781" s="9"/>
      <c r="L781" s="11"/>
    </row>
    <row r="782" customFormat="false" ht="35.05" hidden="false" customHeight="false" outlineLevel="0" collapsed="false">
      <c r="A782" s="7" t="s">
        <v>2998</v>
      </c>
      <c r="B782" s="8" t="s">
        <v>2999</v>
      </c>
      <c r="C782" s="7" t="s">
        <v>2948</v>
      </c>
      <c r="D782" s="7" t="s">
        <v>2949</v>
      </c>
      <c r="E782" s="8" t="s">
        <v>3000</v>
      </c>
      <c r="F782" s="8" t="s">
        <v>3001</v>
      </c>
      <c r="G782" s="7" t="s">
        <v>29</v>
      </c>
      <c r="H782" s="8"/>
      <c r="I782" s="9" t="s">
        <v>30</v>
      </c>
      <c r="J782" s="10"/>
      <c r="K782" s="9"/>
      <c r="L782" s="11"/>
    </row>
    <row r="783" customFormat="false" ht="23.85" hidden="false" customHeight="false" outlineLevel="0" collapsed="false">
      <c r="A783" s="7" t="s">
        <v>3002</v>
      </c>
      <c r="B783" s="8" t="s">
        <v>3003</v>
      </c>
      <c r="C783" s="7" t="s">
        <v>2948</v>
      </c>
      <c r="D783" s="7" t="s">
        <v>2949</v>
      </c>
      <c r="E783" s="8" t="s">
        <v>3004</v>
      </c>
      <c r="F783" s="8" t="s">
        <v>3001</v>
      </c>
      <c r="G783" s="7" t="s">
        <v>29</v>
      </c>
      <c r="H783" s="8"/>
      <c r="I783" s="9" t="s">
        <v>30</v>
      </c>
      <c r="J783" s="10"/>
      <c r="K783" s="9"/>
      <c r="L783" s="11"/>
    </row>
    <row r="784" customFormat="false" ht="23.85" hidden="false" customHeight="false" outlineLevel="0" collapsed="false">
      <c r="A784" s="7" t="s">
        <v>3005</v>
      </c>
      <c r="B784" s="8" t="s">
        <v>3006</v>
      </c>
      <c r="C784" s="7" t="s">
        <v>2948</v>
      </c>
      <c r="D784" s="7" t="s">
        <v>2949</v>
      </c>
      <c r="E784" s="8" t="s">
        <v>3007</v>
      </c>
      <c r="F784" s="8" t="s">
        <v>3001</v>
      </c>
      <c r="G784" s="7" t="s">
        <v>29</v>
      </c>
      <c r="H784" s="8"/>
      <c r="I784" s="9" t="s">
        <v>30</v>
      </c>
      <c r="J784" s="10"/>
      <c r="K784" s="9"/>
      <c r="L784" s="11"/>
    </row>
    <row r="785" customFormat="false" ht="35.05" hidden="false" customHeight="false" outlineLevel="0" collapsed="false">
      <c r="A785" s="7" t="s">
        <v>3008</v>
      </c>
      <c r="B785" s="8" t="s">
        <v>3009</v>
      </c>
      <c r="C785" s="7" t="s">
        <v>2948</v>
      </c>
      <c r="D785" s="7" t="s">
        <v>2949</v>
      </c>
      <c r="E785" s="8" t="s">
        <v>3010</v>
      </c>
      <c r="F785" s="8" t="s">
        <v>3011</v>
      </c>
      <c r="G785" s="7" t="s">
        <v>29</v>
      </c>
      <c r="H785" s="8"/>
      <c r="I785" s="9" t="s">
        <v>30</v>
      </c>
      <c r="J785" s="10"/>
      <c r="K785" s="9"/>
      <c r="L785" s="11"/>
    </row>
    <row r="786" customFormat="false" ht="35.05" hidden="false" customHeight="false" outlineLevel="0" collapsed="false">
      <c r="A786" s="7" t="s">
        <v>3012</v>
      </c>
      <c r="B786" s="8" t="s">
        <v>3013</v>
      </c>
      <c r="C786" s="7" t="s">
        <v>2948</v>
      </c>
      <c r="D786" s="7" t="s">
        <v>2949</v>
      </c>
      <c r="E786" s="8" t="s">
        <v>3014</v>
      </c>
      <c r="F786" s="8" t="s">
        <v>3011</v>
      </c>
      <c r="G786" s="7" t="s">
        <v>29</v>
      </c>
      <c r="H786" s="8"/>
      <c r="I786" s="9" t="s">
        <v>30</v>
      </c>
      <c r="J786" s="10"/>
      <c r="K786" s="9"/>
      <c r="L786" s="11"/>
    </row>
    <row r="787" customFormat="false" ht="35.05" hidden="false" customHeight="false" outlineLevel="0" collapsed="false">
      <c r="A787" s="7" t="s">
        <v>3015</v>
      </c>
      <c r="B787" s="8" t="s">
        <v>3016</v>
      </c>
      <c r="C787" s="7" t="s">
        <v>2948</v>
      </c>
      <c r="D787" s="7" t="s">
        <v>2949</v>
      </c>
      <c r="E787" s="8" t="s">
        <v>3017</v>
      </c>
      <c r="F787" s="8" t="s">
        <v>3011</v>
      </c>
      <c r="G787" s="7" t="s">
        <v>29</v>
      </c>
      <c r="H787" s="8"/>
      <c r="I787" s="9" t="s">
        <v>30</v>
      </c>
      <c r="J787" s="10"/>
      <c r="K787" s="9"/>
      <c r="L787" s="11"/>
    </row>
    <row r="788" customFormat="false" ht="23.85" hidden="false" customHeight="false" outlineLevel="0" collapsed="false">
      <c r="A788" s="7" t="s">
        <v>3018</v>
      </c>
      <c r="B788" s="8" t="s">
        <v>3019</v>
      </c>
      <c r="C788" s="7" t="s">
        <v>2948</v>
      </c>
      <c r="D788" s="7" t="s">
        <v>2949</v>
      </c>
      <c r="E788" s="8" t="s">
        <v>3020</v>
      </c>
      <c r="F788" s="8" t="s">
        <v>3021</v>
      </c>
      <c r="G788" s="7" t="s">
        <v>29</v>
      </c>
      <c r="H788" s="8"/>
      <c r="I788" s="9" t="s">
        <v>30</v>
      </c>
      <c r="J788" s="10"/>
      <c r="K788" s="9"/>
      <c r="L788" s="11"/>
    </row>
    <row r="789" customFormat="false" ht="23.85" hidden="false" customHeight="false" outlineLevel="0" collapsed="false">
      <c r="A789" s="7" t="s">
        <v>3022</v>
      </c>
      <c r="B789" s="8" t="s">
        <v>3023</v>
      </c>
      <c r="C789" s="7" t="s">
        <v>2948</v>
      </c>
      <c r="D789" s="7" t="s">
        <v>2949</v>
      </c>
      <c r="E789" s="8" t="s">
        <v>3024</v>
      </c>
      <c r="F789" s="8" t="s">
        <v>3021</v>
      </c>
      <c r="G789" s="7" t="s">
        <v>29</v>
      </c>
      <c r="H789" s="8"/>
      <c r="I789" s="9" t="s">
        <v>30</v>
      </c>
      <c r="J789" s="10"/>
      <c r="K789" s="9"/>
      <c r="L789" s="11"/>
    </row>
    <row r="790" customFormat="false" ht="23.85" hidden="false" customHeight="false" outlineLevel="0" collapsed="false">
      <c r="A790" s="7" t="s">
        <v>3025</v>
      </c>
      <c r="B790" s="8" t="s">
        <v>3026</v>
      </c>
      <c r="C790" s="7" t="s">
        <v>2948</v>
      </c>
      <c r="D790" s="7" t="s">
        <v>2949</v>
      </c>
      <c r="E790" s="8" t="s">
        <v>3027</v>
      </c>
      <c r="F790" s="8" t="s">
        <v>3021</v>
      </c>
      <c r="G790" s="7" t="s">
        <v>29</v>
      </c>
      <c r="H790" s="8"/>
      <c r="I790" s="9" t="s">
        <v>30</v>
      </c>
      <c r="J790" s="10"/>
      <c r="K790" s="9"/>
      <c r="L790" s="11"/>
    </row>
    <row r="791" customFormat="false" ht="35.05" hidden="false" customHeight="false" outlineLevel="0" collapsed="false">
      <c r="A791" s="7" t="s">
        <v>3028</v>
      </c>
      <c r="B791" s="8" t="s">
        <v>3029</v>
      </c>
      <c r="C791" s="7" t="s">
        <v>3030</v>
      </c>
      <c r="D791" s="7" t="s">
        <v>3031</v>
      </c>
      <c r="E791" s="8" t="s">
        <v>3032</v>
      </c>
      <c r="F791" s="8" t="s">
        <v>3033</v>
      </c>
      <c r="G791" s="7" t="s">
        <v>83</v>
      </c>
      <c r="H791" s="8"/>
      <c r="I791" s="9" t="s">
        <v>30</v>
      </c>
      <c r="J791" s="10"/>
      <c r="K791" s="9"/>
      <c r="L791" s="11"/>
    </row>
    <row r="792" customFormat="false" ht="35.05" hidden="false" customHeight="false" outlineLevel="0" collapsed="false">
      <c r="A792" s="7" t="s">
        <v>3034</v>
      </c>
      <c r="B792" s="8" t="s">
        <v>3035</v>
      </c>
      <c r="C792" s="7" t="s">
        <v>3030</v>
      </c>
      <c r="D792" s="7" t="s">
        <v>3031</v>
      </c>
      <c r="E792" s="8" t="s">
        <v>3036</v>
      </c>
      <c r="F792" s="8" t="s">
        <v>3037</v>
      </c>
      <c r="G792" s="7" t="s">
        <v>83</v>
      </c>
      <c r="H792" s="8"/>
      <c r="I792" s="9" t="s">
        <v>30</v>
      </c>
      <c r="J792" s="10"/>
      <c r="K792" s="9"/>
      <c r="L792" s="11"/>
    </row>
    <row r="793" customFormat="false" ht="35.05" hidden="false" customHeight="false" outlineLevel="0" collapsed="false">
      <c r="A793" s="7" t="s">
        <v>3038</v>
      </c>
      <c r="B793" s="8" t="s">
        <v>3039</v>
      </c>
      <c r="C793" s="7" t="s">
        <v>3030</v>
      </c>
      <c r="D793" s="7" t="s">
        <v>3031</v>
      </c>
      <c r="E793" s="8" t="s">
        <v>3040</v>
      </c>
      <c r="F793" s="8" t="s">
        <v>3041</v>
      </c>
      <c r="G793" s="7" t="s">
        <v>83</v>
      </c>
      <c r="H793" s="8" t="s">
        <v>2168</v>
      </c>
      <c r="I793" s="9" t="s">
        <v>30</v>
      </c>
      <c r="J793" s="10"/>
      <c r="K793" s="9"/>
      <c r="L793" s="11"/>
    </row>
    <row r="794" customFormat="false" ht="46.25" hidden="false" customHeight="false" outlineLevel="0" collapsed="false">
      <c r="A794" s="7" t="s">
        <v>3042</v>
      </c>
      <c r="B794" s="8" t="s">
        <v>3043</v>
      </c>
      <c r="C794" s="7" t="s">
        <v>3030</v>
      </c>
      <c r="D794" s="7" t="s">
        <v>3031</v>
      </c>
      <c r="E794" s="8" t="s">
        <v>3044</v>
      </c>
      <c r="F794" s="8" t="s">
        <v>2551</v>
      </c>
      <c r="G794" s="7" t="s">
        <v>83</v>
      </c>
      <c r="H794" s="8"/>
      <c r="I794" s="9" t="s">
        <v>30</v>
      </c>
      <c r="J794" s="10"/>
      <c r="K794" s="9"/>
      <c r="L794" s="11"/>
    </row>
    <row r="795" customFormat="false" ht="35.05" hidden="false" customHeight="false" outlineLevel="0" collapsed="false">
      <c r="A795" s="7" t="s">
        <v>3045</v>
      </c>
      <c r="B795" s="8" t="s">
        <v>3046</v>
      </c>
      <c r="C795" s="7" t="s">
        <v>3030</v>
      </c>
      <c r="D795" s="7" t="s">
        <v>3031</v>
      </c>
      <c r="E795" s="8" t="s">
        <v>3047</v>
      </c>
      <c r="F795" s="8" t="s">
        <v>3048</v>
      </c>
      <c r="G795" s="7" t="s">
        <v>83</v>
      </c>
      <c r="H795" s="8"/>
      <c r="I795" s="9" t="s">
        <v>30</v>
      </c>
      <c r="J795" s="10"/>
      <c r="K795" s="9"/>
      <c r="L795" s="11"/>
    </row>
    <row r="796" customFormat="false" ht="35.05" hidden="false" customHeight="false" outlineLevel="0" collapsed="false">
      <c r="A796" s="7" t="s">
        <v>3049</v>
      </c>
      <c r="B796" s="8" t="s">
        <v>3050</v>
      </c>
      <c r="C796" s="7" t="s">
        <v>3030</v>
      </c>
      <c r="D796" s="7" t="s">
        <v>3031</v>
      </c>
      <c r="E796" s="8" t="s">
        <v>3051</v>
      </c>
      <c r="F796" s="8" t="s">
        <v>3052</v>
      </c>
      <c r="G796" s="7" t="s">
        <v>83</v>
      </c>
      <c r="H796" s="8"/>
      <c r="I796" s="9" t="s">
        <v>30</v>
      </c>
      <c r="J796" s="10"/>
      <c r="K796" s="9"/>
      <c r="L796" s="11"/>
    </row>
    <row r="797" customFormat="false" ht="23.85" hidden="false" customHeight="false" outlineLevel="0" collapsed="false">
      <c r="A797" s="7" t="s">
        <v>3053</v>
      </c>
      <c r="B797" s="8" t="s">
        <v>3054</v>
      </c>
      <c r="C797" s="7" t="s">
        <v>3030</v>
      </c>
      <c r="D797" s="7" t="s">
        <v>3031</v>
      </c>
      <c r="E797" s="8" t="s">
        <v>3055</v>
      </c>
      <c r="F797" s="8" t="s">
        <v>2551</v>
      </c>
      <c r="G797" s="7" t="s">
        <v>83</v>
      </c>
      <c r="H797" s="8"/>
      <c r="I797" s="9" t="s">
        <v>30</v>
      </c>
      <c r="J797" s="10"/>
      <c r="K797" s="9"/>
      <c r="L797" s="11"/>
    </row>
    <row r="798" customFormat="false" ht="35.05" hidden="false" customHeight="false" outlineLevel="0" collapsed="false">
      <c r="A798" s="7" t="s">
        <v>3056</v>
      </c>
      <c r="B798" s="8" t="s">
        <v>3057</v>
      </c>
      <c r="C798" s="7" t="s">
        <v>3030</v>
      </c>
      <c r="D798" s="7" t="s">
        <v>3031</v>
      </c>
      <c r="E798" s="8" t="s">
        <v>3058</v>
      </c>
      <c r="F798" s="8" t="s">
        <v>414</v>
      </c>
      <c r="G798" s="7" t="s">
        <v>83</v>
      </c>
      <c r="H798" s="8"/>
      <c r="I798" s="9" t="s">
        <v>30</v>
      </c>
      <c r="J798" s="10"/>
      <c r="K798" s="9"/>
      <c r="L798" s="11"/>
    </row>
    <row r="799" customFormat="false" ht="35.05" hidden="false" customHeight="false" outlineLevel="0" collapsed="false">
      <c r="A799" s="7" t="s">
        <v>3059</v>
      </c>
      <c r="B799" s="8" t="s">
        <v>3060</v>
      </c>
      <c r="C799" s="7" t="s">
        <v>3030</v>
      </c>
      <c r="D799" s="7" t="s">
        <v>3031</v>
      </c>
      <c r="E799" s="8" t="s">
        <v>3061</v>
      </c>
      <c r="F799" s="8" t="s">
        <v>3062</v>
      </c>
      <c r="G799" s="7" t="s">
        <v>83</v>
      </c>
      <c r="H799" s="8"/>
      <c r="I799" s="9" t="s">
        <v>30</v>
      </c>
      <c r="J799" s="10"/>
      <c r="K799" s="9"/>
      <c r="L799" s="11"/>
    </row>
    <row r="800" customFormat="false" ht="23.85" hidden="false" customHeight="false" outlineLevel="0" collapsed="false">
      <c r="A800" s="7" t="s">
        <v>3063</v>
      </c>
      <c r="B800" s="8" t="s">
        <v>3064</v>
      </c>
      <c r="C800" s="7" t="s">
        <v>3065</v>
      </c>
      <c r="D800" s="7" t="s">
        <v>3066</v>
      </c>
      <c r="E800" s="8" t="s">
        <v>3067</v>
      </c>
      <c r="F800" s="8"/>
      <c r="G800" s="7" t="s">
        <v>29</v>
      </c>
      <c r="H800" s="8"/>
      <c r="I800" s="9" t="s">
        <v>30</v>
      </c>
      <c r="J800" s="10"/>
      <c r="K800" s="9"/>
      <c r="L800" s="11"/>
    </row>
    <row r="801" customFormat="false" ht="23.85" hidden="false" customHeight="false" outlineLevel="0" collapsed="false">
      <c r="A801" s="7" t="s">
        <v>3068</v>
      </c>
      <c r="B801" s="8" t="s">
        <v>3069</v>
      </c>
      <c r="C801" s="7" t="s">
        <v>3065</v>
      </c>
      <c r="D801" s="7" t="s">
        <v>3066</v>
      </c>
      <c r="E801" s="8" t="s">
        <v>3070</v>
      </c>
      <c r="F801" s="8"/>
      <c r="G801" s="7" t="s">
        <v>29</v>
      </c>
      <c r="H801" s="8"/>
      <c r="I801" s="9" t="s">
        <v>30</v>
      </c>
      <c r="J801" s="10"/>
      <c r="K801" s="9"/>
      <c r="L801" s="11"/>
    </row>
    <row r="802" customFormat="false" ht="35.05" hidden="false" customHeight="false" outlineLevel="0" collapsed="false">
      <c r="A802" s="7" t="s">
        <v>3071</v>
      </c>
      <c r="B802" s="8" t="s">
        <v>3072</v>
      </c>
      <c r="C802" s="7" t="s">
        <v>3065</v>
      </c>
      <c r="D802" s="7" t="s">
        <v>3066</v>
      </c>
      <c r="E802" s="8" t="s">
        <v>3073</v>
      </c>
      <c r="F802" s="8"/>
      <c r="G802" s="7" t="s">
        <v>29</v>
      </c>
      <c r="H802" s="8"/>
      <c r="I802" s="9" t="s">
        <v>30</v>
      </c>
      <c r="J802" s="10"/>
      <c r="K802" s="9"/>
      <c r="L802" s="11"/>
    </row>
    <row r="803" customFormat="false" ht="23.85" hidden="false" customHeight="false" outlineLevel="0" collapsed="false">
      <c r="A803" s="7" t="s">
        <v>3074</v>
      </c>
      <c r="B803" s="8" t="s">
        <v>3075</v>
      </c>
      <c r="C803" s="7" t="s">
        <v>3065</v>
      </c>
      <c r="D803" s="7" t="s">
        <v>3066</v>
      </c>
      <c r="E803" s="8" t="s">
        <v>3076</v>
      </c>
      <c r="F803" s="8"/>
      <c r="G803" s="7" t="s">
        <v>29</v>
      </c>
      <c r="H803" s="8"/>
      <c r="I803" s="9" t="s">
        <v>30</v>
      </c>
      <c r="J803" s="10"/>
      <c r="K803" s="9"/>
      <c r="L803" s="11"/>
    </row>
    <row r="804" customFormat="false" ht="35.05" hidden="false" customHeight="false" outlineLevel="0" collapsed="false">
      <c r="A804" s="7" t="s">
        <v>3077</v>
      </c>
      <c r="B804" s="8" t="s">
        <v>3078</v>
      </c>
      <c r="C804" s="7" t="s">
        <v>3065</v>
      </c>
      <c r="D804" s="7" t="s">
        <v>3066</v>
      </c>
      <c r="E804" s="8" t="s">
        <v>3079</v>
      </c>
      <c r="F804" s="8"/>
      <c r="G804" s="7" t="s">
        <v>29</v>
      </c>
      <c r="H804" s="8"/>
      <c r="I804" s="9" t="s">
        <v>30</v>
      </c>
      <c r="J804" s="10"/>
      <c r="K804" s="9"/>
      <c r="L804" s="11"/>
    </row>
  </sheetData>
  <autoFilter ref="A1:L804"/>
  <conditionalFormatting sqref="I2:I804">
    <cfRule type="cellIs" priority="2" operator="equal" aboveAverage="0" equalAverage="0" bottom="0" percent="0" rank="0" text="" dxfId="4">
      <formula>"Correto"</formula>
    </cfRule>
    <cfRule type="cellIs" priority="3" operator="equal" aboveAverage="0" equalAverage="0" bottom="0" percent="0" rank="0" text="" dxfId="5">
      <formula>"Corrigir"</formula>
    </cfRule>
    <cfRule type="cellIs" priority="4" operator="equal" aboveAverage="0" equalAverage="0" bottom="0" percent="0" rank="0" text="" dxfId="6">
      <formula>"Desatualizado"</formula>
    </cfRule>
    <cfRule type="cellIs" priority="5" operator="equal" aboveAverage="0" equalAverage="0" bottom="0" percent="0" rank="0" text="" dxfId="7">
      <formula>"Simplificar/esclarecer"</formula>
    </cfRule>
  </conditionalFormatting>
  <dataValidations count="1">
    <dataValidation allowBlank="false" errorStyle="stop" operator="between" showDropDown="false" showErrorMessage="false" showInputMessage="false" sqref="I2:I804" type="list">
      <formula1>"A revisar,Correto,Corrigir,Desatualizado,Simplificar/esclarecer"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8" min="2" style="0" width="16"/>
  </cols>
  <sheetData>
    <row r="1" customFormat="false" ht="17.35" hidden="false" customHeight="false" outlineLevel="0" collapsed="false">
      <c r="A1" s="12" t="s">
        <v>3080</v>
      </c>
    </row>
    <row r="3" customFormat="false" ht="15" hidden="false" customHeight="false" outlineLevel="0" collapsed="false">
      <c r="A3" s="13" t="s">
        <v>15</v>
      </c>
      <c r="B3" s="13" t="s">
        <v>30</v>
      </c>
      <c r="C3" s="13" t="s">
        <v>3081</v>
      </c>
      <c r="D3" s="13" t="s">
        <v>3082</v>
      </c>
      <c r="E3" s="13" t="s">
        <v>3083</v>
      </c>
      <c r="F3" s="13" t="s">
        <v>3084</v>
      </c>
      <c r="G3" s="13" t="s">
        <v>3085</v>
      </c>
      <c r="H3" s="13" t="s">
        <v>3086</v>
      </c>
    </row>
    <row r="4" customFormat="false" ht="15" hidden="false" customHeight="false" outlineLevel="0" collapsed="false">
      <c r="A4" s="14" t="s">
        <v>33</v>
      </c>
      <c r="B4" s="14" t="n">
        <f aca="false">COUNTIFS(Revisão!$D$2:$D$804,$A4,Revisão!$I$2:$I$804,B$3)</f>
        <v>286</v>
      </c>
      <c r="C4" s="14" t="n">
        <f aca="false">COUNTIFS(Revisão!$D$2:$D$804,$A4,Revisão!$I$2:$I$804,C$3)</f>
        <v>0</v>
      </c>
      <c r="D4" s="14" t="n">
        <f aca="false">COUNTIFS(Revisão!$D$2:$D$804,$A4,Revisão!$I$2:$I$804,D$3)</f>
        <v>0</v>
      </c>
      <c r="E4" s="14" t="n">
        <f aca="false">COUNTIFS(Revisão!$D$2:$D$804,$A4,Revisão!$I$2:$I$804,E$3)</f>
        <v>0</v>
      </c>
      <c r="F4" s="14" t="n">
        <f aca="false">COUNTIFS(Revisão!$D$2:$D$804,$A4,Revisão!$I$2:$I$804,F$3)</f>
        <v>0</v>
      </c>
      <c r="G4" s="15" t="n">
        <f aca="false">COUNTIF(Revisão!$D$2:$D$804,$A4)</f>
        <v>286</v>
      </c>
      <c r="H4" s="16" t="n">
        <f aca="false">IF(G4=0,0,1-B4/G4)</f>
        <v>0</v>
      </c>
    </row>
    <row r="5" customFormat="false" ht="15" hidden="false" customHeight="false" outlineLevel="0" collapsed="false">
      <c r="A5" s="14" t="s">
        <v>80</v>
      </c>
      <c r="B5" s="14" t="n">
        <f aca="false">COUNTIFS(Revisão!$D$2:$D$804,$A5,Revisão!$I$2:$I$804,B$3)</f>
        <v>202</v>
      </c>
      <c r="C5" s="14" t="n">
        <f aca="false">COUNTIFS(Revisão!$D$2:$D$804,$A5,Revisão!$I$2:$I$804,C$3)</f>
        <v>0</v>
      </c>
      <c r="D5" s="14" t="n">
        <f aca="false">COUNTIFS(Revisão!$D$2:$D$804,$A5,Revisão!$I$2:$I$804,D$3)</f>
        <v>0</v>
      </c>
      <c r="E5" s="14" t="n">
        <f aca="false">COUNTIFS(Revisão!$D$2:$D$804,$A5,Revisão!$I$2:$I$804,E$3)</f>
        <v>0</v>
      </c>
      <c r="F5" s="14" t="n">
        <f aca="false">COUNTIFS(Revisão!$D$2:$D$804,$A5,Revisão!$I$2:$I$804,F$3)</f>
        <v>0</v>
      </c>
      <c r="G5" s="15" t="n">
        <f aca="false">COUNTIF(Revisão!$D$2:$D$804,$A5)</f>
        <v>202</v>
      </c>
      <c r="H5" s="16" t="n">
        <f aca="false">IF(G5=0,0,1-B5/G5)</f>
        <v>0</v>
      </c>
    </row>
    <row r="6" customFormat="false" ht="15" hidden="false" customHeight="false" outlineLevel="0" collapsed="false">
      <c r="A6" s="14" t="s">
        <v>2424</v>
      </c>
      <c r="B6" s="14" t="n">
        <f aca="false">COUNTIFS(Revisão!$D$2:$D$804,$A6,Revisão!$I$2:$I$804,B$3)</f>
        <v>129</v>
      </c>
      <c r="C6" s="14" t="n">
        <f aca="false">COUNTIFS(Revisão!$D$2:$D$804,$A6,Revisão!$I$2:$I$804,C$3)</f>
        <v>0</v>
      </c>
      <c r="D6" s="14" t="n">
        <f aca="false">COUNTIFS(Revisão!$D$2:$D$804,$A6,Revisão!$I$2:$I$804,D$3)</f>
        <v>0</v>
      </c>
      <c r="E6" s="14" t="n">
        <f aca="false">COUNTIFS(Revisão!$D$2:$D$804,$A6,Revisão!$I$2:$I$804,E$3)</f>
        <v>0</v>
      </c>
      <c r="F6" s="14" t="n">
        <f aca="false">COUNTIFS(Revisão!$D$2:$D$804,$A6,Revisão!$I$2:$I$804,F$3)</f>
        <v>0</v>
      </c>
      <c r="G6" s="15" t="n">
        <f aca="false">COUNTIF(Revisão!$D$2:$D$804,$A6)</f>
        <v>129</v>
      </c>
      <c r="H6" s="16" t="n">
        <f aca="false">IF(G6=0,0,1-B6/G6)</f>
        <v>0</v>
      </c>
    </row>
    <row r="7" customFormat="false" ht="15" hidden="false" customHeight="false" outlineLevel="0" collapsed="false">
      <c r="A7" s="14" t="s">
        <v>50</v>
      </c>
      <c r="B7" s="14" t="n">
        <f aca="false">COUNTIFS(Revisão!$D$2:$D$804,$A7,Revisão!$I$2:$I$804,B$3)</f>
        <v>67</v>
      </c>
      <c r="C7" s="14" t="n">
        <f aca="false">COUNTIFS(Revisão!$D$2:$D$804,$A7,Revisão!$I$2:$I$804,C$3)</f>
        <v>0</v>
      </c>
      <c r="D7" s="14" t="n">
        <f aca="false">COUNTIFS(Revisão!$D$2:$D$804,$A7,Revisão!$I$2:$I$804,D$3)</f>
        <v>0</v>
      </c>
      <c r="E7" s="14" t="n">
        <f aca="false">COUNTIFS(Revisão!$D$2:$D$804,$A7,Revisão!$I$2:$I$804,E$3)</f>
        <v>0</v>
      </c>
      <c r="F7" s="14" t="n">
        <f aca="false">COUNTIFS(Revisão!$D$2:$D$804,$A7,Revisão!$I$2:$I$804,F$3)</f>
        <v>0</v>
      </c>
      <c r="G7" s="15" t="n">
        <f aca="false">COUNTIF(Revisão!$D$2:$D$804,$A7)</f>
        <v>67</v>
      </c>
      <c r="H7" s="16" t="n">
        <f aca="false">IF(G7=0,0,1-B7/G7)</f>
        <v>0</v>
      </c>
    </row>
    <row r="8" customFormat="false" ht="15" hidden="false" customHeight="false" outlineLevel="0" collapsed="false">
      <c r="A8" s="14" t="s">
        <v>27</v>
      </c>
      <c r="B8" s="14" t="n">
        <f aca="false">COUNTIFS(Revisão!$D$2:$D$804,$A8,Revisão!$I$2:$I$804,B$3)</f>
        <v>67</v>
      </c>
      <c r="C8" s="14" t="n">
        <f aca="false">COUNTIFS(Revisão!$D$2:$D$804,$A8,Revisão!$I$2:$I$804,C$3)</f>
        <v>0</v>
      </c>
      <c r="D8" s="14" t="n">
        <f aca="false">COUNTIFS(Revisão!$D$2:$D$804,$A8,Revisão!$I$2:$I$804,D$3)</f>
        <v>0</v>
      </c>
      <c r="E8" s="14" t="n">
        <f aca="false">COUNTIFS(Revisão!$D$2:$D$804,$A8,Revisão!$I$2:$I$804,E$3)</f>
        <v>0</v>
      </c>
      <c r="F8" s="14" t="n">
        <f aca="false">COUNTIFS(Revisão!$D$2:$D$804,$A8,Revisão!$I$2:$I$804,F$3)</f>
        <v>0</v>
      </c>
      <c r="G8" s="15" t="n">
        <f aca="false">COUNTIF(Revisão!$D$2:$D$804,$A8)</f>
        <v>67</v>
      </c>
      <c r="H8" s="16" t="n">
        <f aca="false">IF(G8=0,0,1-B8/G8)</f>
        <v>0</v>
      </c>
    </row>
    <row r="9" customFormat="false" ht="15" hidden="false" customHeight="false" outlineLevel="0" collapsed="false">
      <c r="A9" s="14" t="s">
        <v>2949</v>
      </c>
      <c r="B9" s="14" t="n">
        <f aca="false">COUNTIFS(Revisão!$D$2:$D$804,$A9,Revisão!$I$2:$I$804,B$3)</f>
        <v>24</v>
      </c>
      <c r="C9" s="14" t="n">
        <f aca="false">COUNTIFS(Revisão!$D$2:$D$804,$A9,Revisão!$I$2:$I$804,C$3)</f>
        <v>0</v>
      </c>
      <c r="D9" s="14" t="n">
        <f aca="false">COUNTIFS(Revisão!$D$2:$D$804,$A9,Revisão!$I$2:$I$804,D$3)</f>
        <v>0</v>
      </c>
      <c r="E9" s="14" t="n">
        <f aca="false">COUNTIFS(Revisão!$D$2:$D$804,$A9,Revisão!$I$2:$I$804,E$3)</f>
        <v>0</v>
      </c>
      <c r="F9" s="14" t="n">
        <f aca="false">COUNTIFS(Revisão!$D$2:$D$804,$A9,Revisão!$I$2:$I$804,F$3)</f>
        <v>0</v>
      </c>
      <c r="G9" s="15" t="n">
        <f aca="false">COUNTIF(Revisão!$D$2:$D$804,$A9)</f>
        <v>24</v>
      </c>
      <c r="H9" s="16" t="n">
        <f aca="false">IF(G9=0,0,1-B9/G9)</f>
        <v>0</v>
      </c>
    </row>
    <row r="10" customFormat="false" ht="15" hidden="false" customHeight="false" outlineLevel="0" collapsed="false">
      <c r="A10" s="14" t="s">
        <v>3031</v>
      </c>
      <c r="B10" s="14" t="n">
        <f aca="false">COUNTIFS(Revisão!$D$2:$D$804,$A10,Revisão!$I$2:$I$804,B$3)</f>
        <v>9</v>
      </c>
      <c r="C10" s="14" t="n">
        <f aca="false">COUNTIFS(Revisão!$D$2:$D$804,$A10,Revisão!$I$2:$I$804,C$3)</f>
        <v>0</v>
      </c>
      <c r="D10" s="14" t="n">
        <f aca="false">COUNTIFS(Revisão!$D$2:$D$804,$A10,Revisão!$I$2:$I$804,D$3)</f>
        <v>0</v>
      </c>
      <c r="E10" s="14" t="n">
        <f aca="false">COUNTIFS(Revisão!$D$2:$D$804,$A10,Revisão!$I$2:$I$804,E$3)</f>
        <v>0</v>
      </c>
      <c r="F10" s="14" t="n">
        <f aca="false">COUNTIFS(Revisão!$D$2:$D$804,$A10,Revisão!$I$2:$I$804,F$3)</f>
        <v>0</v>
      </c>
      <c r="G10" s="15" t="n">
        <f aca="false">COUNTIF(Revisão!$D$2:$D$804,$A10)</f>
        <v>9</v>
      </c>
      <c r="H10" s="16" t="n">
        <f aca="false">IF(G10=0,0,1-B10/G10)</f>
        <v>0</v>
      </c>
    </row>
    <row r="11" customFormat="false" ht="15" hidden="false" customHeight="false" outlineLevel="0" collapsed="false">
      <c r="A11" s="14" t="s">
        <v>2926</v>
      </c>
      <c r="B11" s="14" t="n">
        <f aca="false">COUNTIFS(Revisão!$D$2:$D$804,$A11,Revisão!$I$2:$I$804,B$3)</f>
        <v>5</v>
      </c>
      <c r="C11" s="14" t="n">
        <f aca="false">COUNTIFS(Revisão!$D$2:$D$804,$A11,Revisão!$I$2:$I$804,C$3)</f>
        <v>0</v>
      </c>
      <c r="D11" s="14" t="n">
        <f aca="false">COUNTIFS(Revisão!$D$2:$D$804,$A11,Revisão!$I$2:$I$804,D$3)</f>
        <v>0</v>
      </c>
      <c r="E11" s="14" t="n">
        <f aca="false">COUNTIFS(Revisão!$D$2:$D$804,$A11,Revisão!$I$2:$I$804,E$3)</f>
        <v>0</v>
      </c>
      <c r="F11" s="14" t="n">
        <f aca="false">COUNTIFS(Revisão!$D$2:$D$804,$A11,Revisão!$I$2:$I$804,F$3)</f>
        <v>0</v>
      </c>
      <c r="G11" s="15" t="n">
        <f aca="false">COUNTIF(Revisão!$D$2:$D$804,$A11)</f>
        <v>5</v>
      </c>
      <c r="H11" s="16" t="n">
        <f aca="false">IF(G11=0,0,1-B11/G11)</f>
        <v>0</v>
      </c>
    </row>
    <row r="12" customFormat="false" ht="15" hidden="false" customHeight="false" outlineLevel="0" collapsed="false">
      <c r="A12" s="14" t="s">
        <v>3066</v>
      </c>
      <c r="B12" s="14" t="n">
        <f aca="false">COUNTIFS(Revisão!$D$2:$D$804,$A12,Revisão!$I$2:$I$804,B$3)</f>
        <v>5</v>
      </c>
      <c r="C12" s="14" t="n">
        <f aca="false">COUNTIFS(Revisão!$D$2:$D$804,$A12,Revisão!$I$2:$I$804,C$3)</f>
        <v>0</v>
      </c>
      <c r="D12" s="14" t="n">
        <f aca="false">COUNTIFS(Revisão!$D$2:$D$804,$A12,Revisão!$I$2:$I$804,D$3)</f>
        <v>0</v>
      </c>
      <c r="E12" s="14" t="n">
        <f aca="false">COUNTIFS(Revisão!$D$2:$D$804,$A12,Revisão!$I$2:$I$804,E$3)</f>
        <v>0</v>
      </c>
      <c r="F12" s="14" t="n">
        <f aca="false">COUNTIFS(Revisão!$D$2:$D$804,$A12,Revisão!$I$2:$I$804,F$3)</f>
        <v>0</v>
      </c>
      <c r="G12" s="15" t="n">
        <f aca="false">COUNTIF(Revisão!$D$2:$D$804,$A12)</f>
        <v>5</v>
      </c>
      <c r="H12" s="16" t="n">
        <f aca="false">IF(G12=0,0,1-B12/G12)</f>
        <v>0</v>
      </c>
    </row>
    <row r="13" customFormat="false" ht="15" hidden="false" customHeight="false" outlineLevel="0" collapsed="false">
      <c r="A13" s="14" t="s">
        <v>2904</v>
      </c>
      <c r="B13" s="14" t="n">
        <f aca="false">COUNTIFS(Revisão!$D$2:$D$804,$A13,Revisão!$I$2:$I$804,B$3)</f>
        <v>5</v>
      </c>
      <c r="C13" s="14" t="n">
        <f aca="false">COUNTIFS(Revisão!$D$2:$D$804,$A13,Revisão!$I$2:$I$804,C$3)</f>
        <v>0</v>
      </c>
      <c r="D13" s="14" t="n">
        <f aca="false">COUNTIFS(Revisão!$D$2:$D$804,$A13,Revisão!$I$2:$I$804,D$3)</f>
        <v>0</v>
      </c>
      <c r="E13" s="14" t="n">
        <f aca="false">COUNTIFS(Revisão!$D$2:$D$804,$A13,Revisão!$I$2:$I$804,E$3)</f>
        <v>0</v>
      </c>
      <c r="F13" s="14" t="n">
        <f aca="false">COUNTIFS(Revisão!$D$2:$D$804,$A13,Revisão!$I$2:$I$804,F$3)</f>
        <v>0</v>
      </c>
      <c r="G13" s="15" t="n">
        <f aca="false">COUNTIF(Revisão!$D$2:$D$804,$A13)</f>
        <v>5</v>
      </c>
      <c r="H13" s="16" t="n">
        <f aca="false">IF(G13=0,0,1-B13/G13)</f>
        <v>0</v>
      </c>
    </row>
    <row r="14" customFormat="false" ht="15" hidden="false" customHeight="false" outlineLevel="0" collapsed="false">
      <c r="A14" s="14" t="s">
        <v>1248</v>
      </c>
      <c r="B14" s="14" t="n">
        <f aca="false">COUNTIFS(Revisão!$D$2:$D$804,$A14,Revisão!$I$2:$I$804,B$3)</f>
        <v>4</v>
      </c>
      <c r="C14" s="14" t="n">
        <f aca="false">COUNTIFS(Revisão!$D$2:$D$804,$A14,Revisão!$I$2:$I$804,C$3)</f>
        <v>0</v>
      </c>
      <c r="D14" s="14" t="n">
        <f aca="false">COUNTIFS(Revisão!$D$2:$D$804,$A14,Revisão!$I$2:$I$804,D$3)</f>
        <v>0</v>
      </c>
      <c r="E14" s="14" t="n">
        <f aca="false">COUNTIFS(Revisão!$D$2:$D$804,$A14,Revisão!$I$2:$I$804,E$3)</f>
        <v>0</v>
      </c>
      <c r="F14" s="14" t="n">
        <f aca="false">COUNTIFS(Revisão!$D$2:$D$804,$A14,Revisão!$I$2:$I$804,F$3)</f>
        <v>0</v>
      </c>
      <c r="G14" s="15" t="n">
        <f aca="false">COUNTIF(Revisão!$D$2:$D$804,$A14)</f>
        <v>4</v>
      </c>
      <c r="H14" s="16" t="n">
        <f aca="false">IF(G14=0,0,1-B14/G14)</f>
        <v>0</v>
      </c>
    </row>
    <row r="15" customFormat="false" ht="15" hidden="false" customHeight="false" outlineLevel="0" collapsed="false">
      <c r="A15" s="15" t="s">
        <v>3085</v>
      </c>
      <c r="B15" s="15" t="n">
        <f aca="false">SUM(B4:B14)</f>
        <v>803</v>
      </c>
      <c r="C15" s="15" t="n">
        <f aca="false">SUM(C4:C14)</f>
        <v>0</v>
      </c>
      <c r="D15" s="15" t="n">
        <f aca="false">SUM(D4:D14)</f>
        <v>0</v>
      </c>
      <c r="E15" s="15" t="n">
        <f aca="false">SUM(E4:E14)</f>
        <v>0</v>
      </c>
      <c r="F15" s="15" t="n">
        <f aca="false">SUM(F4:F14)</f>
        <v>0</v>
      </c>
      <c r="G15" s="15" t="n">
        <f aca="false">SUM(G4:G14)</f>
        <v>803</v>
      </c>
      <c r="H15" s="17" t="n">
        <f aca="false">IF(G15=0,0,1-B15/G15)</f>
        <v>0</v>
      </c>
    </row>
    <row r="17" customFormat="false" ht="15" hidden="false" customHeight="false" outlineLevel="0" collapsed="false">
      <c r="A17" s="14" t="s">
        <v>3087</v>
      </c>
      <c r="B17" s="15" t="n">
        <f aca="false">COUNTIFS(Revisão!$G$2:$G$804,"Alta",Revisão!$I$2:$I$804,"A revisar")</f>
        <v>350</v>
      </c>
    </row>
    <row r="18" customFormat="false" ht="15" hidden="false" customHeight="false" outlineLevel="0" collapsed="false">
      <c r="A18" s="14" t="s">
        <v>3088</v>
      </c>
      <c r="B18" s="15" t="n">
        <f aca="false">COUNTIFS(Revisão!$H$2:$H$804,"?*",Revisão!$I$2:$I$804,"A revisar")</f>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2026-10-29T01:01:35Z</dcterms:created>
  <dc:creator>openpyxl</dc:creator>
  <dc:description/>
  <dc:language>en-US</dc:language>
  <cp:lastModifiedBy/>
  <dcterms:modified xsi:type="dcterms:W3CDTF">2026-10-29T01:01:35Z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